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icesiedu.sharepoint.com/sites/DCSI_FIDCA/APO 1/2025-2/4-Tareas Integradoras/1-Tarea Integradora 1/"/>
    </mc:Choice>
  </mc:AlternateContent>
  <xr:revisionPtr revIDLastSave="0" documentId="8_{061BFED5-31C1-463C-8FB4-D45786F515BC}" xr6:coauthVersionLast="47" xr6:coauthVersionMax="47" xr10:uidLastSave="{00000000-0000-0000-0000-000000000000}"/>
  <bookViews>
    <workbookView xWindow="-120" yWindow="-120" windowWidth="29040" windowHeight="15720" xr2:uid="{00000000-000D-0000-FFFF-FFFF00000000}"/>
  </bookViews>
  <sheets>
    <sheet name="Entrega 1 TI " sheetId="4" r:id="rId1"/>
    <sheet name="Entrega 2 TI" sheetId="1" state="hidden" r:id="rId2"/>
    <sheet name="Entrega 3 TI" sheetId="2" state="hidden" r:id="rId3"/>
    <sheet name="Nota Definitiva" sheetId="3"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4" l="1"/>
  <c r="E7" i="4"/>
  <c r="B7" i="4"/>
  <c r="F7" i="4"/>
  <c r="C7" i="4"/>
  <c r="N7" i="4"/>
  <c r="N6" i="4"/>
  <c r="D4" i="3"/>
  <c r="I7" i="2"/>
  <c r="F7" i="2"/>
  <c r="L7" i="2"/>
  <c r="D7" i="2"/>
  <c r="B7" i="2"/>
  <c r="Y6" i="2"/>
  <c r="H7" i="1"/>
  <c r="F7" i="1"/>
  <c r="D7" i="1"/>
  <c r="B7" i="1"/>
  <c r="O7" i="1" s="1"/>
  <c r="O6" i="1"/>
  <c r="Y7" i="2" l="1"/>
</calcChain>
</file>

<file path=xl/sharedStrings.xml><?xml version="1.0" encoding="utf-8"?>
<sst xmlns="http://schemas.openxmlformats.org/spreadsheetml/2006/main" count="195" uniqueCount="121">
  <si>
    <t>RÚBRICA PRIMERA ENTREGA: TAREA INTEGRADORA</t>
  </si>
  <si>
    <t>Proceso</t>
  </si>
  <si>
    <t>Análisis</t>
  </si>
  <si>
    <t>Documentación</t>
  </si>
  <si>
    <t>Codificación</t>
  </si>
  <si>
    <t>Total</t>
  </si>
  <si>
    <r>
      <rPr>
        <sz val="10"/>
        <color theme="1"/>
        <rFont val="Arial"/>
      </rPr>
      <t xml:space="preserve">Uso de GitHub como repositorio de código fuente. Se llevan a cabo al menos </t>
    </r>
    <r>
      <rPr>
        <b/>
        <sz val="10"/>
        <color theme="1"/>
        <rFont val="Arial"/>
      </rPr>
      <t>3 commits significativos.</t>
    </r>
  </si>
  <si>
    <t>Se presenta el análisis del problema y análisis de requerimientos</t>
  </si>
  <si>
    <t>Contratos de las subrutinas / métodos 
(ver Tabla 1)</t>
  </si>
  <si>
    <t>Buenas prácticas de codificación 
(ver Tabla 2)</t>
  </si>
  <si>
    <t>Compilación y Ejecución del Código 
(ver Tabla 2)</t>
  </si>
  <si>
    <r>
      <rPr>
        <b/>
        <sz val="10"/>
        <color rgb="FF000000"/>
        <rFont val="Arial"/>
      </rPr>
      <t>Registro de información de un sorteo:</t>
    </r>
    <r>
      <rPr>
        <sz val="10"/>
        <color rgb="FF000000"/>
        <rFont val="Arial"/>
      </rPr>
      <t xml:space="preserve"> 
El sistema debe permitir al usuario registrar la información de UN solo sorteo. El sorteo está identificado por un nombre, cuenta con descripción, presupuesto sugerido por regalo, y fecha del evento. El sorteo cuenta adicionalmente con un estado (creado o sorteado). </t>
    </r>
  </si>
  <si>
    <r>
      <rPr>
        <b/>
        <sz val="10"/>
        <color rgb="FF000000"/>
        <rFont val="Arial"/>
      </rPr>
      <t xml:space="preserve">Registro de información de un participante: 
</t>
    </r>
    <r>
      <rPr>
        <sz val="10"/>
        <color rgb="FF000000"/>
        <rFont val="Arial"/>
      </rPr>
      <t xml:space="preserve">El sistema debe permitir registrar la información de los participantes de forma manual. Para ello se debe solicitar el número de participantes y registrar la información de tantos participantes como corresponda. Para cada participante se requiere el nombre. </t>
    </r>
  </si>
  <si>
    <r>
      <rPr>
        <b/>
        <sz val="10"/>
        <color rgb="FF000000"/>
        <rFont val="Arial"/>
      </rPr>
      <t xml:space="preserve">Validar información de un participante: 
</t>
    </r>
    <r>
      <rPr>
        <sz val="10"/>
        <color rgb="FF000000"/>
        <rFont val="Arial"/>
      </rPr>
      <t xml:space="preserve">El sistema debe validar que no existan dos participantes con el mismo nombre dentro del sorteo. </t>
    </r>
  </si>
  <si>
    <r>
      <rPr>
        <b/>
        <sz val="10"/>
        <color rgb="FF000000"/>
        <rFont val="Arial"/>
      </rPr>
      <t>Consultar participantes:</t>
    </r>
    <r>
      <rPr>
        <sz val="10"/>
        <color rgb="FF000000"/>
        <rFont val="Arial"/>
      </rPr>
      <t xml:space="preserve"> 
El sistema debe permitir mostrar por consola la lista completa de participantes registrados, presentando un consecutivo y el nombre. </t>
    </r>
  </si>
  <si>
    <r>
      <rPr>
        <b/>
        <sz val="10"/>
        <color rgb="FF000000"/>
        <rFont val="Arial"/>
      </rPr>
      <t xml:space="preserve">Generar sorteo: 
</t>
    </r>
    <r>
      <rPr>
        <sz val="10"/>
        <color rgb="FF000000"/>
        <rFont val="Arial"/>
      </rPr>
      <t xml:space="preserve">El sistema debe, a solicitud del usuario, realizar un sorteo automático que asigne a cada participante exactamente un amigo secreto (nombre) de manera aleatoria, asegurando que nadie se asigne a sí mismo y que no existan repeticiones. </t>
    </r>
  </si>
  <si>
    <r>
      <rPr>
        <b/>
        <sz val="10"/>
        <color rgb="FF000000"/>
        <rFont val="Arial"/>
      </rPr>
      <t xml:space="preserve">Resumen del sorteo: </t>
    </r>
    <r>
      <rPr>
        <sz val="10"/>
        <color rgb="FF000000"/>
        <rFont val="Arial"/>
      </rPr>
      <t xml:space="preserve">El sistema debe, a solicitud del usuario, presentar por consola los datos del sorteo. Si el sorteo ya fue realizado se debe consultar el listado de participantes y su amigo secreto. En caso contrario, se mostrará un mensaje de error. </t>
    </r>
  </si>
  <si>
    <t>Especificación del problema 
(ver Tabla 1)</t>
  </si>
  <si>
    <t>Análisis de requerimientos
(ver Tabla 1)</t>
  </si>
  <si>
    <t>Tabla 1</t>
  </si>
  <si>
    <t>Tabla 2</t>
  </si>
  <si>
    <t>Nota</t>
  </si>
  <si>
    <t>Especificación del problema</t>
  </si>
  <si>
    <t>Describe el problema general de manera clara, completa y precisa, contextualizándolo adecuadamente. Identifica el objetivo del problema, las restricciones y el alcance de la solución, evidenciando comprensión profunda del problema a resolver.</t>
  </si>
  <si>
    <t>Describe el problema general de forma clara y coherente, identificando el objetivo principal y el contexto. Presenta una comprensión adecuada del problema, aunque puede omitir algún detalle menor del alcance o las restricciones.</t>
  </si>
  <si>
    <t>Describe el problema general de manera comprensible, pero de forma parcial o poco detallada. El objetivo del problema es identificable, aunque con ambigüedades o sin suficiente contextualización.</t>
  </si>
  <si>
    <t>La descripción del problema es confusa o incompleta. El objetivo del problema no es claro o está formulado de manera vaga, lo que dificulta la comprensión de lo que se debe resolver.</t>
  </si>
  <si>
    <t>No describe el problema general o la descripción es incorrecta. No se identifica el objetivo del problema ni se evidencia comprensión de la situación a resolver.</t>
  </si>
  <si>
    <t>Buenas prácticas de codificación</t>
  </si>
  <si>
    <t>- El código está correctamente indentado
- El nombre de la clase empieza en mayúscula
- El nombre de la clase es adecuado para el problema
- Los nombres de las variables son adecuados (incluye los parámetros)
- Los nombres de las variables empiezan en minúscula
- Los nombres de las subrutinas empiezan en minúscula</t>
  </si>
  <si>
    <t>Análisis de requerimientos</t>
  </si>
  <si>
    <t>Para cada requerimiento presenta una descripción clara y precisa, identifica correctamente las entradas y salidas con su tipo de dato, y propone ejemplos de ejecución completos y coherentes que ilustran adecuadamente el funcionamiento esperado del programa.</t>
  </si>
  <si>
    <t>Para cada requerimiento describe adecuadamente su función, identifica entradas y salidas con su tipo de dato, y presenta ejemplos de ejecución comprensibles, aunque con pequeños detalles por precisar en cualquiera de los elementos.</t>
  </si>
  <si>
    <t>Presenta los requerimientos de forma general. Identifica entradas y salidas, pero con errores menores o sin especificar claramente los tipos de dato. Los ejemplos de ejecución son parciales o poco claros.</t>
  </si>
  <si>
    <t>Los requerimientos están incompletos o mal definidos. Las entradas y salidas se mencionan de forma imprecisa o incorrecta, y los ejemplos de ejecución no permiten comprender el comportamiento esperado del programa.</t>
  </si>
  <si>
    <t>No se identifican correctamente los requerimientos. No se especifican entradas ni salidas, o estas son incorrectas. No se incluyen ejemplos de ejecución o estos no guardan relación con el problema planteado.</t>
  </si>
  <si>
    <t>Compilación y Ejecución del Código</t>
  </si>
  <si>
    <t>El programa compila y se ejecuta sin errores.</t>
  </si>
  <si>
    <t>El programa compila, pero se presentan errores en tiempo de ejecución</t>
  </si>
  <si>
    <t>Al incluír unas pequeñas modificaciones el programa compila</t>
  </si>
  <si>
    <t>-</t>
  </si>
  <si>
    <t>El programa no compila y hay que hacer modificaciones mayores para hacerlo compilar</t>
  </si>
  <si>
    <t xml:space="preserve">Contratos de las subrutinas / métodos </t>
  </si>
  <si>
    <t>Todos los métodos están claramente definidos con contratos que especifican con precisión: qué hace el método, qué datos necesita (parámetros), qué valores retorna (si aplica). La documentación es completa y coherente con la implementación. No se detectan ambigüedades.</t>
  </si>
  <si>
    <t>La mayoría de los métodos tienen contratos bien definidos y comprensibles. Se especifican claramente las responsabilidades, parámetros y retornos. Puede haber una omisión menor en la redacción o documentación, pero no afecta la comprensión del propósito del método.</t>
  </si>
  <si>
    <t>Los métodos tienen contratos parcialmente definidos. Se entiende la intención de la mayoría de ellos, pero falta claridad en algunos parámetros o su retorno (si aplica). La documentación es insuficiente o incompleta en varios casos.</t>
  </si>
  <si>
    <t>La mayoría de los métodos carecen de contratos claros. No se especifican adecuadamente los parámetros ni lo que se espera como retorno. La ausencia de documentación dificulta comprender el diseño del programa y sus subrutinas.</t>
  </si>
  <si>
    <t>No se definen contratos. Los métodos aparecen sin documentación ni claridad sobre su funcionalidad, parámetros o retorno. La comprensión del propósito y uso de las subrutinas requiere revisar a fondo el cuerpo del código.</t>
  </si>
  <si>
    <t>RÚBRICA SEGUNDA ENTREGA: TAREA INTEGRADORA</t>
  </si>
  <si>
    <t>Los documentos del proyecto están adecuadamente ubicados en la estructura del proyecto (El documento de análisis y especificación se encuentra en la carpeta docs, el javadoc se genera en la carpeta docs/API, el código fuente se encuentra en la carpeta src y los archivos binarios en la carpeta bin)</t>
  </si>
  <si>
    <t>Se presenta el documento de análisis y especificación de requerimientos correspondiente a la SEGUNDA FASE DE DESARROLLO (proyecto completo)</t>
  </si>
  <si>
    <t>Generación de la documentación en javadoc 
(ver Tabla 1)</t>
  </si>
  <si>
    <r>
      <rPr>
        <b/>
        <sz val="10"/>
        <color theme="1"/>
        <rFont val="Arial"/>
      </rPr>
      <t xml:space="preserve">Registro de cursos: </t>
    </r>
    <r>
      <rPr>
        <sz val="10"/>
        <color theme="1"/>
        <rFont val="Arial"/>
      </rPr>
      <t>El sistema debe permite al usuario registrar la información de un curso (campos).</t>
    </r>
  </si>
  <si>
    <r>
      <rPr>
        <b/>
        <sz val="10"/>
        <color theme="1"/>
        <rFont val="Arial"/>
      </rPr>
      <t xml:space="preserve">Asociación de actividades a curso: 
</t>
    </r>
    <r>
      <rPr>
        <sz val="10"/>
        <color theme="1"/>
        <rFont val="Arial"/>
      </rPr>
      <t xml:space="preserve">El sistema permite asociar hasta 5 actividades académicas (manejo de arreglos). El sistema valida que el porcentaje acumulado de todas las actividades de un curso sea del 100%, muestra mensajes de advertencia y no realiza el registro en caso contrario. </t>
    </r>
  </si>
  <si>
    <r>
      <rPr>
        <b/>
        <sz val="10"/>
        <color theme="1"/>
        <rFont val="Arial"/>
      </rPr>
      <t>Carga de notas:</t>
    </r>
    <r>
      <rPr>
        <sz val="10"/>
        <color theme="1"/>
        <rFont val="Arial"/>
      </rPr>
      <t xml:space="preserve"> 
El sistema permite cargar notas obtenidas para cada actividad (manejo de arreglos). El sistema valida que el valor numérico se encuentre en el rango establecido (0.0 a 5.0).</t>
    </r>
  </si>
  <si>
    <r>
      <rPr>
        <b/>
        <sz val="10"/>
        <color rgb="FF000000"/>
        <rFont val="Arial"/>
      </rPr>
      <t xml:space="preserve">Visualización de actividades: 
</t>
    </r>
    <r>
      <rPr>
        <sz val="10"/>
        <color rgb="FF000000"/>
        <rFont val="Arial"/>
      </rPr>
      <t>El sistema permite visualizar para el curso registrado, la lista completa de actividades asociadas con su fecha de entrega y porcentaje respectivo.</t>
    </r>
  </si>
  <si>
    <r>
      <rPr>
        <b/>
        <sz val="10"/>
        <color theme="1"/>
        <rFont val="Arial"/>
      </rPr>
      <t>Consultar el promedio del curso:</t>
    </r>
    <r>
      <rPr>
        <sz val="10"/>
        <color theme="1"/>
        <rFont val="Arial"/>
      </rPr>
      <t xml:space="preserve"> 
El sistema permite consultar el promedio ponderado del curso. Se  presentar la lista completa de actividades del curso: nombre, el peso (porcentaje) y la nota registrada; y finalmente el cálculo del promedio ponderado del curso.</t>
    </r>
  </si>
  <si>
    <t>Especificación del problema (ver Tabla 1)</t>
  </si>
  <si>
    <t>Especificación de requerimientos (ver Tabla 1)</t>
  </si>
  <si>
    <t>Se identifican correctamente el cliente, los usuarios, el propósito del sistema, roles y usos. Se identifican correctamente los requerimientos funcionales, no funcionales y de proceso.</t>
  </si>
  <si>
    <t>Se identifican claramente el cliente, usuarios y propósito del sistema, aunque uno de estos elementos podría estar formulado de manera general. Se presentan los requerimientos funcionales y no funcionales, pero puede haber omisión parcial de los de proceso.</t>
  </si>
  <si>
    <t>Se identifican algunos elementos clave del contexto (cliente, usuarios o propósito), pero otros están ausentes o mal definidos. Se identifican los requerimientos funcionales en su mayoría, pero los no funcionales o de proceso son escasos o confusos.</t>
  </si>
  <si>
    <t>La identificación del propósito y los actores del sistema es vaga o incorrecta. Solo se enuncian algunos requerimientos funcionales sin organizar ni clasificar.</t>
  </si>
  <si>
    <t>No se identifican adecuadamente ni el cliente ni los usuarios ni el propósito del sistema. Los requerimientos están ausentes, desorganizados o no responden al problema.</t>
  </si>
  <si>
    <t>Especificación de requerimientos</t>
  </si>
  <si>
    <t>Todos los requerimientos cuentan con un identificador y nombre pertinentes, un resumen completo y consiso y se caracterizan adecuadamente las entradas, resultados (poscondiciones) y salidas.</t>
  </si>
  <si>
    <t>La mayoría de los requerimientos están bien nombrados e identificados, con descripciones comprensibles, aunque no siempre detalladas por completo. Las entradas y salidas están parcialmente caracterizadas.</t>
  </si>
  <si>
    <t>Hay inconsistencias en los nombres o identificadores de los requerimientos. Las descripciones son incompletas o ambiguas y las entradas y salidas no se caracterizan de manera clara.</t>
  </si>
  <si>
    <t>No se usan identificadores o los nombres no son representativos. Las descripciones son muy generales o copiadas literalmente del enunciado. Las entradas y salidas no están caracterizadas o no guardan relación con la solución.</t>
  </si>
  <si>
    <t xml:space="preserve">No se asignan identificadores ni nombres pertinentes. No hay descripción estructurada ni caracterización de entradas o salidas. La documentación no cumple su propósito de orientar el diseño del sistema. </t>
  </si>
  <si>
    <t>Todos los métodos están claramente definidos con contratos que especifican con precisión: qué hace el método, qué datos necesita (parámetros), qué valores retorna (si aplica), y cuáles son sus restricciones o precondiciones. La documentación es completa y coherente con la implementación. No se detectan ambigüedades.</t>
  </si>
  <si>
    <t>Los métodos tienen contratos parcialmente definidos. Se entiende la intención de la mayoría de ellos, pero falta claridad en algunos parámetros, su retorno o las pre o pos condiciones. La documentación es insuficiente o incompleta en varios casos.</t>
  </si>
  <si>
    <t>La mayoría de los métodos carecen de contratos claros. No se especifican adecuadamente los parámetros ni lo que se espera como salida. La ausencia de documentación dificulta comprender el diseño del programa y sus subrutinas.</t>
  </si>
  <si>
    <t>Generación de la documentación javadoc</t>
  </si>
  <si>
    <t>Se presenta la documentación de al menos el 95% del código fuente.</t>
  </si>
  <si>
    <t>Se presenta la documentación de al menos el 75% del código fuente.</t>
  </si>
  <si>
    <t>Se presenta la documentación de al menos el 50% del código fuente.</t>
  </si>
  <si>
    <t>Se presenta la documentación de menos del 30% del código fuente.</t>
  </si>
  <si>
    <t>No se presenta la documentación del código fuente</t>
  </si>
  <si>
    <t>RÚBRICA TERCERA ENTREGA: TAREA INTEGRADORA</t>
  </si>
  <si>
    <t>Diseño</t>
  </si>
  <si>
    <r>
      <rPr>
        <sz val="10"/>
        <color rgb="FF000000"/>
        <rFont val="Arial"/>
      </rPr>
      <t xml:space="preserve">Uso de GitHub como repositorio de código fuente. Se llevan a cabo al menos </t>
    </r>
    <r>
      <rPr>
        <b/>
        <sz val="10"/>
        <color rgb="FF000000"/>
        <rFont val="Arial"/>
      </rPr>
      <t>6 commits significativos en todo el proyecto</t>
    </r>
    <r>
      <rPr>
        <sz val="10"/>
        <color rgb="FF000000"/>
        <rFont val="Arial"/>
      </rPr>
      <t>.</t>
    </r>
  </si>
  <si>
    <t>Se presentan correcciones en el documento de análisis y especificación de requerimientos correspondiente a la SEGUNDA FASE DE DESARROLLO (proyecto completo)</t>
  </si>
  <si>
    <t>Se presenta el diagrama de clases y se valida el diseño usando la tabla de trazabilidad análisis-diseño</t>
  </si>
  <si>
    <t>Reflexión sobre uso de IAG</t>
  </si>
  <si>
    <r>
      <rPr>
        <b/>
        <sz val="10"/>
        <color rgb="FF000000"/>
        <rFont val="Arial"/>
      </rPr>
      <t xml:space="preserve">Registro de semestres: 
</t>
    </r>
    <r>
      <rPr>
        <sz val="10"/>
        <color rgb="FF000000"/>
        <rFont val="Arial"/>
      </rPr>
      <t>El sistema permite el registro de semestres. Cada curso se identifica por un código (cadena de texto) y cuenta con fecha de inicio y fin (ambas como LocalDate). La fecha de fin es calculada (exactamente 18 semanas después de la fecha de inicio). No se permitie registrar semestres duplicados.</t>
    </r>
  </si>
  <si>
    <r>
      <rPr>
        <b/>
        <sz val="10"/>
        <color rgb="FF000000"/>
        <rFont val="Arial"/>
      </rPr>
      <t xml:space="preserve">Registro de cursos: 
</t>
    </r>
    <r>
      <rPr>
        <sz val="10"/>
        <color rgb="FF000000"/>
        <rFont val="Arial"/>
      </rPr>
      <t>El sistema permite el registro de cursos. Cada curso es identificado por un código (cadena de texto). No se  permite registrar cursos duplicados. Los cursos tienen adicionalmente un nombre (cadena de texto), número de créditos (número entero), un profesor asignado y un salón (ambas cadenas de texto) y un tipo de curso que puede ser: Exploratorio, Currículo Central, Núcleo Profesional, Proyección Profesional o Proyección Flexible.</t>
    </r>
  </si>
  <si>
    <r>
      <rPr>
        <b/>
        <sz val="10"/>
        <color rgb="FF000000"/>
        <rFont val="Arial"/>
      </rPr>
      <t xml:space="preserve">Consultar un curso: 
</t>
    </r>
    <r>
      <rPr>
        <sz val="10"/>
        <color rgb="FF000000"/>
        <rFont val="Arial"/>
      </rPr>
      <t>El sistema permite consultar la información de un curso a partir de la información almacenada. Se despliega primero el listado de semestres y luego el listado de cursos (código y nombre) de tal forma que el usuario pueda seleccionar el semestre y finalmente el curso a consultar.</t>
    </r>
  </si>
  <si>
    <r>
      <rPr>
        <b/>
        <sz val="10"/>
        <color rgb="FF000000"/>
        <rFont val="Arial"/>
      </rPr>
      <t xml:space="preserve">Modificar un curso: 
</t>
    </r>
    <r>
      <rPr>
        <sz val="10"/>
        <color rgb="FF000000"/>
        <rFont val="Arial"/>
      </rPr>
      <t>El sistema permite modificar la información de un curso (excepto su código). Para modificar un curso primero se consulta y presenta al usuario la información almacenada y luego se capturan los nuevos datos.</t>
    </r>
  </si>
  <si>
    <r>
      <rPr>
        <b/>
        <sz val="10"/>
        <color theme="1"/>
        <rFont val="Arial"/>
      </rPr>
      <t xml:space="preserve">Asociación de actividades a curso: </t>
    </r>
    <r>
      <rPr>
        <sz val="10"/>
        <color theme="1"/>
        <rFont val="Arial"/>
      </rPr>
      <t xml:space="preserve">
El sistema permite asociar actividades académicas a los cursos (manejo de ArrayList). 
Cada actividad incluye: Un nombre (cadena de texto), una fecha de entrega (como LocalDate), y un porcentaje que indica cuánto pesa dicha actividad en la nota final del curso (número en punto flotante). Adicionalmente, las actividades deben tener una categoría que puede ser Tarea, Quiz, Examen Parcial o Proyecto.
El sistema valida que el porcentaje acumulado de todas las actividades de un curso sea del 100%, muestra mensajes de advertencia y no realiza el registro en caso contrario.</t>
    </r>
  </si>
  <si>
    <r>
      <rPr>
        <b/>
        <sz val="10"/>
        <color theme="1"/>
        <rFont val="Arial"/>
      </rPr>
      <t xml:space="preserve">Borrar una actividad: 
</t>
    </r>
    <r>
      <rPr>
        <sz val="10"/>
        <color theme="1"/>
        <rFont val="Arial"/>
      </rPr>
      <t>El sistema permite borrar una actividad asociada a un curso. 
Para borrar una actividad primero se consulta y presenta al usuario la información de los semestres y cursos registrados y luego se le permite seleccionar la actividad a borrar.</t>
    </r>
  </si>
  <si>
    <r>
      <rPr>
        <b/>
        <sz val="10"/>
        <color theme="1"/>
        <rFont val="Arial"/>
      </rPr>
      <t xml:space="preserve">Visualización de actividades: 
</t>
    </r>
    <r>
      <rPr>
        <sz val="10"/>
        <color theme="1"/>
        <rFont val="Arial"/>
      </rPr>
      <t xml:space="preserve">El sistema permite visualizar para cada curso registrado, la lista completa de actividades asociadas con su nombre, categoría, porcentaje respectivo y fecha de entrega.
Se consulta la información de las actividades a partir de la consulta de los semestres y cursos registrados y luego se le permite seleccionar el curso a consultar. </t>
    </r>
  </si>
  <si>
    <r>
      <rPr>
        <b/>
        <sz val="10"/>
        <color theme="1"/>
        <rFont val="Arial"/>
      </rPr>
      <t>Carga de notas:</t>
    </r>
    <r>
      <rPr>
        <sz val="10"/>
        <color theme="1"/>
        <rFont val="Arial"/>
      </rPr>
      <t xml:space="preserve"> 
El sistema permite cargar notas obtenidas para cada actividad. Cada nota tiene el valor numérico obtenido de 0.0 a 5.0 (número en punto flotante), la retroalimentación del profesor (cadena de texto) y la fecha de entrega de la nota (como LocalDate). El sistema valida que el valor numérico se encuentre en el rango establecido y que la retroalimentación del profesor no esté vacía.
Para cargar una nota primero se consulta y presenta al usuario la información de los semestres, cursos y actividades registrados y luego se le permite seleccionar la actividad a la cual se le cargará la nota. </t>
    </r>
  </si>
  <si>
    <r>
      <rPr>
        <b/>
        <sz val="10"/>
        <color theme="1"/>
        <rFont val="Arial"/>
      </rPr>
      <t>Consultar actividades pendientes:</t>
    </r>
    <r>
      <rPr>
        <sz val="10"/>
        <color theme="1"/>
        <rFont val="Arial"/>
      </rPr>
      <t xml:space="preserve"> 
El sistema permite consultar para cada curso, el listado de actividades que aún estén pendientes. Una actividad se considera pendiente cuando aún no tiene una nota registrada y cuando la fecha del sistema es menor a la fecha de entrega de la actividad.</t>
    </r>
  </si>
  <si>
    <r>
      <rPr>
        <b/>
        <sz val="10"/>
        <color theme="1"/>
        <rFont val="Arial"/>
      </rPr>
      <t>Consultar el promedio del curso:</t>
    </r>
    <r>
      <rPr>
        <sz val="10"/>
        <color theme="1"/>
        <rFont val="Arial"/>
      </rPr>
      <t xml:space="preserve"> 
El sistema permite consultar el promedio ponderado del curso. Se presenta la lista completa de actividades del curso: nombre, el peso (porcentaje) y la nota registrada; y finalmente el cálculo del promedio ponderado del curso.</t>
    </r>
  </si>
  <si>
    <r>
      <rPr>
        <b/>
        <sz val="10"/>
        <color theme="1"/>
        <rFont val="Arial"/>
      </rPr>
      <t>Consultar el promedio ponderado del semestre:</t>
    </r>
    <r>
      <rPr>
        <sz val="10"/>
        <color theme="1"/>
        <rFont val="Arial"/>
      </rPr>
      <t xml:space="preserve"> 
El sistema permite consultar el promedio ponderado del semestre. Se presenta la lista completa de cursos registrados: código, nombre, créditos y la nota calculada; y finalmente el cálculo del promedio ponderado del semestre.</t>
    </r>
  </si>
  <si>
    <t>Reglas del lenguaje UML
(ver Tabla 1)</t>
  </si>
  <si>
    <t>Principios de diseño
(ver Tabla 1)</t>
  </si>
  <si>
    <t>Tabla de trazabilidad 
(ver Tabla 1)</t>
  </si>
  <si>
    <t>Reglas del lenguaje UML</t>
  </si>
  <si>
    <t>El diseño cumple con las reglas léxicas del lenguaje UML (uso correcto de nombres y tipos), las reglas sintácticas (estructuras y relaciones bien formadas y completas), y las reglas semánticas (las clases, relaciones y atributos reflejan fielmente los requerimientos funcionales y no funcionales del sistema). El diagrama es consistente, completo, y está alineado con la especificación del problema.</t>
  </si>
  <si>
    <t>El diseño UML muestra un cumplimiento mayoritario de las reglas léxicas, sintácticas y semánticas. Puede haber pequeñas omisiones o errores menores (por ejemplo, en visibilidad, tipos o notación de relaciones), pero el diseño global sigue siendo coherente, comprensible y útil como representación del sistema.</t>
  </si>
  <si>
    <t xml:space="preserve">El diseño cumple parcialmente con las reglas del lenguaje UML. Se observan errores léxicos o sintácticos frecuentes (por ejemplo, omisión de visibilidades, nombres poco descriptivos, clases mal estructuradas) y cierta ambigüedad semántica. La relación con los requerimientos es incompleta o inconsistente en algunos casos.
</t>
  </si>
  <si>
    <t>El diseño presenta múltiples errores léxicos y sintácticos (uso incorrecto de los elementos UML, asociaciones mal expresadas o atributos ubicados en lugares incorrectos). Además, el diagrama no logra representar adecuadamente el comportamiento esperado del sistema ni se alinea con los requerimientos.</t>
  </si>
  <si>
    <t>El diseño UML es ilegible o inexistente. No se respetan las reglas mínimas del lenguaje, ni hay coherencia semántica con los requerimientos. El diseño no puede ser utilizado como referencia para implementar o comprender el sistema propuesto.</t>
  </si>
  <si>
    <t>Principios de diseño</t>
  </si>
  <si>
    <t>El diseño propuesto minimiza el acoplamiento entre clases (las dependencias son claras, justificadas y necesarias), maximiza la cohesión interna de cada clase (las responsabilidades están agrupadas de forma lógica), y aplica correctamente el principio de encapsulamiento (atributos privados, acceso mediante métodos públicos adecuados). Además, el diseño es suficiente para satisfacer todos los requerimientos del sistema: incluye las clases necesarias, los atributos y métodos pertinentes, y relaciones correctamente modeladas (asociaciones, generalizaciones, etc. cuando corresponda).</t>
  </si>
  <si>
    <t>El diseño presenta un buen manejo de acoplamiento, cohesión y encapsulamiento, con una estructura que en general refleja una comprensión clara del problema. Puede haber algún error menor, por ejemplo: una relación innecesaria, una clase con más de una responsabilidad, o algún atributo público que debió ser privado, pero no se compromete la calidad general ni la capacidad del diseño para satisfacer los requerimientos.</t>
  </si>
  <si>
    <t>El diseño tiene un nivel moderado de acoplamiento entre clases, y la cohesión es irregular (algunas clases mezclan responsabilidades o concentran demasiado trabajo). El encapsulamiento es aplicado de forma inconsistente (atributos públicos sin justificación, métodos mal definidos). Aunque el diseño intenta representar los requerimientos, hay omisiones o elementos redundantes que dificultan su implementación directa.</t>
  </si>
  <si>
    <t>El diseño tiene alto acoplamiento (clases muy dependientes entre sí), baja cohesión (clases que hacen tareas no relacionadas), y no aplica principios de encapsulamiento (atributos públicos, lógica distribuida de forma inadecuada). Faltan clases o relaciones clave para cumplir los requerimientos. El diseño no es funcional como punto de partida para implementar una solución coherente.</t>
  </si>
  <si>
    <t>El diseño carece completamente de principios de diseño orientado a objetos. No hay esfuerzo por reducir el acoplamiento, las clases están mal cohesionadas o no tienen una responsabilidad clara, el encapsulamiento está ausente, y la estructura no permite satisfacer los requerimientos del problema. Es un diseño arbitrario, desorganizado o incompleto.</t>
  </si>
  <si>
    <t>Tabla de trazabilidad</t>
  </si>
  <si>
    <t>Se identifican todos los métodos necesarios en cada clase para darle cumplimiento a los requerimientos funcionales.</t>
  </si>
  <si>
    <t>Se identifican la mayoría de métodos necesarios en cada clase para darle cumplimiento a los requerimientos funcionales.</t>
  </si>
  <si>
    <t>Se identifican parcialmente los métodos necesarios en cada clase para darle cumplimiento a los requerimientos funcionales.</t>
  </si>
  <si>
    <t>Los mayoría de métodos identificados no dan cumplimiento a los requerimientos funcionales</t>
  </si>
  <si>
    <t>Los métodos identificados no dan cumplimiento a los requerimientos funcionales</t>
  </si>
  <si>
    <t>CÁLCULO DE LA NOTA DEFINITIVA - CORTE 2: TAREA INTEGRADORA</t>
  </si>
  <si>
    <t>Calificación obtenida en la Entrega 2 de la TI1</t>
  </si>
  <si>
    <t>Calificación obtenida en la Entrega 3 de la TI1</t>
  </si>
  <si>
    <t>Nota Definitiva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</si>
</sst>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0"/>
      <color rgb="FF000000"/>
      <name val="Arial"/>
      <scheme val="minor"/>
    </font>
    <font>
      <sz val="10"/>
      <color theme="1"/>
      <name val="Arial"/>
    </font>
    <font>
      <b/>
      <sz val="11"/>
      <color rgb="FF000000"/>
      <name val="Arial"/>
    </font>
    <font>
      <b/>
      <sz val="11"/>
      <color rgb="FFFFFFFF"/>
      <name val="Arial"/>
    </font>
    <font>
      <sz val="10"/>
      <name val="Arial"/>
    </font>
    <font>
      <b/>
      <sz val="10"/>
      <color theme="1"/>
      <name val="Arial"/>
    </font>
    <font>
      <b/>
      <sz val="10"/>
      <color rgb="FFFFFFFF"/>
      <name val="Arial"/>
    </font>
    <font>
      <b/>
      <sz val="10"/>
      <color rgb="FF000000"/>
      <name val="Arial"/>
    </font>
    <font>
      <sz val="10"/>
      <color rgb="FF000000"/>
      <name val="Arial"/>
    </font>
    <font>
      <b/>
      <sz val="10"/>
      <color theme="0"/>
      <name val="Arial"/>
      <family val="2"/>
      <scheme val="minor"/>
    </font>
    <font>
      <b/>
      <sz val="11"/>
      <color rgb="FF000000"/>
      <name val="Arial"/>
      <family val="2"/>
    </font>
  </fonts>
  <fills count="12">
    <fill>
      <patternFill patternType="none"/>
    </fill>
    <fill>
      <patternFill patternType="gray125"/>
    </fill>
    <fill>
      <patternFill patternType="solid">
        <fgColor rgb="FF1C4587"/>
        <bgColor rgb="FF1C4587"/>
      </patternFill>
    </fill>
    <fill>
      <patternFill patternType="solid">
        <fgColor rgb="FFFFFFFF"/>
        <bgColor rgb="FFFFFFFF"/>
      </patternFill>
    </fill>
    <fill>
      <patternFill patternType="solid">
        <fgColor rgb="FFEAD1DC"/>
        <bgColor rgb="FFEAD1DC"/>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CCCCCC"/>
        <bgColor rgb="FFCCCCCC"/>
      </patternFill>
    </fill>
    <fill>
      <patternFill patternType="solid">
        <fgColor rgb="FFFCE5CD"/>
        <bgColor rgb="FFFCE5CD"/>
      </patternFill>
    </fill>
    <fill>
      <patternFill patternType="solid">
        <fgColor rgb="FF002060"/>
        <bgColor indexed="64"/>
      </patternFill>
    </fill>
  </fills>
  <borders count="1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bottom style="thin">
        <color rgb="FF000000"/>
      </bottom>
      <diagonal/>
    </border>
  </borders>
  <cellStyleXfs count="1">
    <xf numFmtId="0" fontId="0" fillId="0" borderId="0"/>
  </cellStyleXfs>
  <cellXfs count="69">
    <xf numFmtId="0" fontId="0" fillId="0" borderId="0" xfId="0"/>
    <xf numFmtId="0" fontId="1" fillId="0" borderId="0" xfId="0" applyFont="1"/>
    <xf numFmtId="0" fontId="1" fillId="0" borderId="0" xfId="0" applyFont="1" applyAlignment="1">
      <alignment horizontal="center" vertical="center"/>
    </xf>
    <xf numFmtId="10" fontId="5" fillId="4" borderId="7" xfId="0" applyNumberFormat="1" applyFont="1" applyFill="1" applyBorder="1" applyAlignment="1">
      <alignment horizontal="center" wrapText="1"/>
    </xf>
    <xf numFmtId="10" fontId="5" fillId="5" borderId="7" xfId="0" applyNumberFormat="1" applyFont="1" applyFill="1" applyBorder="1" applyAlignment="1">
      <alignment horizontal="center" wrapText="1"/>
    </xf>
    <xf numFmtId="10" fontId="5" fillId="6" borderId="7" xfId="0" applyNumberFormat="1" applyFont="1" applyFill="1" applyBorder="1" applyAlignment="1">
      <alignment horizontal="center" wrapText="1"/>
    </xf>
    <xf numFmtId="9" fontId="5" fillId="7" borderId="7" xfId="0" applyNumberFormat="1" applyFont="1" applyFill="1" applyBorder="1" applyAlignment="1">
      <alignment horizontal="center" wrapText="1"/>
    </xf>
    <xf numFmtId="9" fontId="5" fillId="8" borderId="7" xfId="0" applyNumberFormat="1" applyFont="1" applyFill="1" applyBorder="1" applyAlignment="1">
      <alignment horizontal="center" wrapText="1"/>
    </xf>
    <xf numFmtId="0" fontId="6" fillId="2" borderId="7" xfId="0" applyFont="1" applyFill="1" applyBorder="1" applyAlignment="1">
      <alignment horizontal="center" wrapText="1"/>
    </xf>
    <xf numFmtId="0" fontId="7" fillId="5"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164" fontId="5" fillId="7" borderId="7" xfId="0" applyNumberFormat="1" applyFont="1" applyFill="1" applyBorder="1" applyAlignment="1">
      <alignment horizontal="center" wrapText="1"/>
    </xf>
    <xf numFmtId="0" fontId="7" fillId="10" borderId="6" xfId="0" applyFont="1" applyFill="1" applyBorder="1" applyAlignment="1">
      <alignment horizontal="center" vertical="center" wrapText="1"/>
    </xf>
    <xf numFmtId="10" fontId="5" fillId="6" borderId="6" xfId="0" applyNumberFormat="1" applyFont="1" applyFill="1" applyBorder="1" applyAlignment="1">
      <alignment horizontal="center" wrapText="1"/>
    </xf>
    <xf numFmtId="0" fontId="1" fillId="0" borderId="7" xfId="0" applyFont="1" applyBorder="1" applyAlignment="1">
      <alignment horizontal="center" vertical="center" wrapText="1"/>
    </xf>
    <xf numFmtId="0" fontId="5" fillId="0" borderId="0" xfId="0" applyFont="1"/>
    <xf numFmtId="0" fontId="1" fillId="9" borderId="2" xfId="0" applyFont="1" applyFill="1" applyBorder="1" applyAlignment="1">
      <alignment horizontal="center" wrapText="1"/>
    </xf>
    <xf numFmtId="0" fontId="1" fillId="9" borderId="2" xfId="0" applyFont="1" applyFill="1" applyBorder="1" applyAlignment="1">
      <alignment horizontal="center"/>
    </xf>
    <xf numFmtId="0" fontId="1" fillId="0" borderId="8" xfId="0" applyFont="1" applyBorder="1" applyAlignment="1">
      <alignment horizontal="left" vertical="center" wrapText="1"/>
    </xf>
    <xf numFmtId="10" fontId="5" fillId="10" borderId="7" xfId="0" applyNumberFormat="1" applyFont="1" applyFill="1" applyBorder="1" applyAlignment="1">
      <alignment horizontal="center"/>
    </xf>
    <xf numFmtId="0" fontId="9" fillId="11" borderId="11" xfId="0" applyFont="1" applyFill="1" applyBorder="1" applyAlignment="1">
      <alignment horizontal="center" vertical="center" wrapText="1"/>
    </xf>
    <xf numFmtId="9" fontId="0" fillId="0" borderId="11" xfId="0" applyNumberFormat="1" applyBorder="1" applyAlignment="1">
      <alignment horizontal="center" vertical="center"/>
    </xf>
    <xf numFmtId="0" fontId="1" fillId="0" borderId="6" xfId="0" applyFont="1" applyBorder="1" applyAlignment="1">
      <alignment horizontal="center" vertical="center" wrapText="1"/>
    </xf>
    <xf numFmtId="0" fontId="1" fillId="0" borderId="13" xfId="0" applyFont="1" applyBorder="1" applyAlignment="1">
      <alignment horizontal="center" vertical="center" wrapText="1"/>
    </xf>
    <xf numFmtId="0" fontId="3" fillId="2" borderId="1" xfId="0" applyFont="1" applyFill="1" applyBorder="1" applyAlignment="1">
      <alignment horizontal="center" vertical="center" wrapText="1"/>
    </xf>
    <xf numFmtId="9" fontId="5" fillId="4" borderId="1" xfId="0" applyNumberFormat="1" applyFont="1" applyFill="1" applyBorder="1" applyAlignment="1">
      <alignment horizontal="center" wrapText="1"/>
    </xf>
    <xf numFmtId="9" fontId="5" fillId="6" borderId="1" xfId="0" applyNumberFormat="1" applyFont="1" applyFill="1" applyBorder="1" applyAlignment="1">
      <alignment horizont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8" fillId="3" borderId="4" xfId="0" applyFont="1" applyFill="1" applyBorder="1" applyAlignment="1">
      <alignment horizontal="center" vertical="center" wrapText="1"/>
    </xf>
    <xf numFmtId="9" fontId="5" fillId="7" borderId="1" xfId="0" applyNumberFormat="1" applyFont="1" applyFill="1" applyBorder="1" applyAlignment="1">
      <alignment horizontal="center" wrapText="1"/>
    </xf>
    <xf numFmtId="9" fontId="5" fillId="7" borderId="3" xfId="0" applyNumberFormat="1" applyFont="1" applyFill="1" applyBorder="1" applyAlignment="1">
      <alignment horizontal="center" wrapText="1"/>
    </xf>
    <xf numFmtId="9" fontId="5" fillId="7" borderId="2" xfId="0" applyNumberFormat="1" applyFont="1" applyFill="1" applyBorder="1" applyAlignment="1">
      <alignment horizont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8" fillId="0" borderId="4" xfId="0" applyFont="1" applyBorder="1" applyAlignment="1">
      <alignment horizontal="center" vertical="center" wrapText="1"/>
    </xf>
    <xf numFmtId="9" fontId="5" fillId="5" borderId="1" xfId="0" applyNumberFormat="1" applyFont="1" applyFill="1" applyBorder="1" applyAlignment="1">
      <alignment horizontal="center" wrapText="1"/>
    </xf>
    <xf numFmtId="0" fontId="1" fillId="3" borderId="4" xfId="0" applyFont="1" applyFill="1" applyBorder="1" applyAlignment="1">
      <alignment horizontal="center" vertical="center" wrapText="1"/>
    </xf>
    <xf numFmtId="0" fontId="2" fillId="0" borderId="0" xfId="0" applyFont="1" applyAlignment="1">
      <alignment horizontal="left"/>
    </xf>
    <xf numFmtId="0" fontId="3" fillId="2" borderId="4" xfId="0" applyFont="1" applyFill="1" applyBorder="1" applyAlignment="1">
      <alignment horizontal="center" vertical="center"/>
    </xf>
    <xf numFmtId="0" fontId="1" fillId="0" borderId="4" xfId="0" applyFont="1" applyBorder="1" applyAlignment="1">
      <alignment horizontal="center" vertical="center" wrapText="1"/>
    </xf>
    <xf numFmtId="0" fontId="4" fillId="0" borderId="6" xfId="0" applyFont="1" applyBorder="1" applyAlignment="1">
      <alignment wrapText="1"/>
    </xf>
    <xf numFmtId="0" fontId="1" fillId="0" borderId="1" xfId="0" applyFont="1" applyBorder="1" applyAlignment="1">
      <alignment horizontal="center" vertical="center" wrapText="1"/>
    </xf>
    <xf numFmtId="9" fontId="5" fillId="4" borderId="1" xfId="0" applyNumberFormat="1" applyFont="1" applyFill="1" applyBorder="1" applyAlignment="1">
      <alignment horizontal="center" wrapText="1"/>
    </xf>
    <xf numFmtId="9" fontId="5" fillId="6" borderId="1" xfId="0" applyNumberFormat="1" applyFont="1" applyFill="1" applyBorder="1" applyAlignment="1">
      <alignment horizontal="center" wrapText="1"/>
    </xf>
    <xf numFmtId="0" fontId="1" fillId="0" borderId="6" xfId="0" applyFont="1" applyBorder="1" applyAlignment="1">
      <alignment horizontal="center" vertical="center" wrapText="1"/>
    </xf>
    <xf numFmtId="0" fontId="1" fillId="3" borderId="6"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vertical="center" wrapText="1"/>
    </xf>
    <xf numFmtId="0" fontId="1" fillId="3" borderId="9" xfId="0" applyFont="1" applyFill="1" applyBorder="1" applyAlignment="1">
      <alignment horizontal="center" vertical="center" wrapText="1"/>
    </xf>
    <xf numFmtId="164" fontId="5" fillId="7" borderId="1" xfId="0" applyNumberFormat="1" applyFont="1" applyFill="1" applyBorder="1" applyAlignment="1">
      <alignment horizontal="center" wrapText="1"/>
    </xf>
    <xf numFmtId="9" fontId="5" fillId="6" borderId="3" xfId="0" applyNumberFormat="1" applyFont="1" applyFill="1" applyBorder="1" applyAlignment="1">
      <alignment horizontal="center" wrapText="1"/>
    </xf>
    <xf numFmtId="9" fontId="5" fillId="10" borderId="1" xfId="0" applyNumberFormat="1" applyFont="1" applyFill="1" applyBorder="1" applyAlignment="1">
      <alignment horizontal="center"/>
    </xf>
    <xf numFmtId="0" fontId="10" fillId="0" borderId="0" xfId="0" applyFont="1" applyAlignment="1">
      <alignment horizontal="left"/>
    </xf>
    <xf numFmtId="0" fontId="0" fillId="0" borderId="0" xfId="0" applyAlignment="1"/>
    <xf numFmtId="0" fontId="4" fillId="0" borderId="2" xfId="0" applyFont="1" applyBorder="1" applyAlignment="1"/>
    <xf numFmtId="0" fontId="4" fillId="0" borderId="5" xfId="0" applyFont="1" applyBorder="1" applyAlignment="1"/>
    <xf numFmtId="0" fontId="4" fillId="0" borderId="6" xfId="0" applyFont="1" applyBorder="1" applyAlignment="1"/>
    <xf numFmtId="0" fontId="4" fillId="0" borderId="3" xfId="0" applyFont="1" applyBorder="1" applyAlignment="1"/>
    <xf numFmtId="0" fontId="4" fillId="0" borderId="12" xfId="0" applyFont="1" applyBorder="1" applyAlignment="1"/>
    <xf numFmtId="0" fontId="4" fillId="0" borderId="9" xfId="0" applyFont="1" applyBorder="1" applyAlignment="1"/>
    <xf numFmtId="0" fontId="0" fillId="0" borderId="7" xfId="0" applyBorder="1" applyAlignment="1"/>
    <xf numFmtId="0" fontId="4" fillId="0" borderId="7" xfId="0" applyFont="1" applyBorder="1" applyAlignment="1"/>
    <xf numFmtId="0" fontId="4" fillId="0" borderId="8"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57429-C8D0-4CD4-86F2-556AB6C27AC4}">
  <sheetPr>
    <tabColor theme="5"/>
    <outlinePr summaryBelow="0" summaryRight="0"/>
  </sheetPr>
  <dimension ref="A1:AA1001"/>
  <sheetViews>
    <sheetView tabSelected="1" workbookViewId="0">
      <selection activeCell="A10" sqref="A10"/>
    </sheetView>
  </sheetViews>
  <sheetFormatPr defaultColWidth="12.5703125" defaultRowHeight="15.75" customHeight="1"/>
  <cols>
    <col min="1" max="1" width="3.7109375" customWidth="1"/>
    <col min="2" max="2" width="29.5703125" customWidth="1"/>
    <col min="3" max="3" width="32.42578125" customWidth="1"/>
    <col min="4" max="4" width="30.28515625" customWidth="1"/>
    <col min="5" max="5" width="25.140625" customWidth="1"/>
    <col min="6" max="6" width="26.42578125" customWidth="1"/>
    <col min="7" max="7" width="25.140625" customWidth="1"/>
    <col min="8" max="8" width="33.140625" customWidth="1"/>
    <col min="9" max="9" width="32.140625" customWidth="1"/>
    <col min="10" max="10" width="25.42578125" customWidth="1"/>
    <col min="11" max="11" width="27.5703125" customWidth="1"/>
    <col min="12" max="12" width="25.28515625" customWidth="1"/>
    <col min="13" max="13" width="25.42578125" customWidth="1"/>
    <col min="14" max="14" width="27" customWidth="1"/>
  </cols>
  <sheetData>
    <row r="1" spans="1:27" ht="12.75">
      <c r="A1" s="1"/>
      <c r="B1" s="1"/>
      <c r="C1" s="1"/>
      <c r="D1" s="1"/>
      <c r="E1" s="1"/>
      <c r="F1" s="1"/>
      <c r="G1" s="1"/>
      <c r="H1" s="1"/>
      <c r="I1" s="1"/>
      <c r="J1" s="1"/>
      <c r="K1" s="1"/>
      <c r="L1" s="1"/>
      <c r="M1" s="1"/>
      <c r="N1" s="1"/>
      <c r="O1" s="1"/>
      <c r="P1" s="1"/>
      <c r="Q1" s="1"/>
      <c r="R1" s="1"/>
      <c r="S1" s="1"/>
      <c r="T1" s="1"/>
      <c r="U1" s="1"/>
      <c r="V1" s="1"/>
      <c r="W1" s="1"/>
      <c r="X1" s="1"/>
      <c r="Y1" s="1"/>
      <c r="Z1" s="1"/>
      <c r="AA1" s="1"/>
    </row>
    <row r="2" spans="1:27" ht="15">
      <c r="A2" s="1"/>
      <c r="B2" s="41" t="s">
        <v>0</v>
      </c>
      <c r="C2" s="59"/>
      <c r="D2" s="59"/>
      <c r="E2" s="59"/>
      <c r="F2" s="59"/>
      <c r="G2" s="59"/>
      <c r="H2" s="59"/>
      <c r="I2" s="59"/>
      <c r="J2" s="59"/>
      <c r="K2" s="59"/>
      <c r="L2" s="59"/>
      <c r="M2" s="59"/>
      <c r="N2" s="59"/>
      <c r="O2" s="1"/>
      <c r="P2" s="1"/>
      <c r="Q2" s="1"/>
      <c r="R2" s="1"/>
      <c r="S2" s="1"/>
      <c r="T2" s="1"/>
      <c r="U2" s="1"/>
      <c r="V2" s="1"/>
      <c r="W2" s="1"/>
      <c r="X2" s="1"/>
      <c r="Y2" s="1"/>
      <c r="Z2" s="1"/>
      <c r="AA2" s="1"/>
    </row>
    <row r="3" spans="1:27" ht="12.75" customHeight="1">
      <c r="A3" s="1"/>
      <c r="B3" s="25" t="s">
        <v>1</v>
      </c>
      <c r="C3" s="35" t="s">
        <v>2</v>
      </c>
      <c r="D3" s="60"/>
      <c r="E3" s="25" t="s">
        <v>3</v>
      </c>
      <c r="F3" s="35" t="s">
        <v>4</v>
      </c>
      <c r="G3" s="36"/>
      <c r="H3" s="36"/>
      <c r="I3" s="36"/>
      <c r="J3" s="36"/>
      <c r="K3" s="36"/>
      <c r="L3" s="36"/>
      <c r="M3" s="37"/>
      <c r="N3" s="42" t="s">
        <v>5</v>
      </c>
      <c r="O3" s="1"/>
      <c r="P3" s="1"/>
      <c r="Q3" s="1"/>
      <c r="R3" s="1"/>
      <c r="S3" s="1"/>
      <c r="T3" s="1"/>
      <c r="U3" s="1"/>
      <c r="V3" s="1"/>
      <c r="W3" s="1"/>
      <c r="X3" s="1"/>
      <c r="Y3" s="1"/>
      <c r="Z3" s="1"/>
    </row>
    <row r="4" spans="1:27" ht="84" customHeight="1">
      <c r="A4" s="2"/>
      <c r="B4" s="43" t="s">
        <v>6</v>
      </c>
      <c r="C4" s="45" t="s">
        <v>7</v>
      </c>
      <c r="D4" s="60"/>
      <c r="E4" s="43" t="s">
        <v>8</v>
      </c>
      <c r="F4" s="40" t="s">
        <v>9</v>
      </c>
      <c r="G4" s="40" t="s">
        <v>10</v>
      </c>
      <c r="H4" s="31" t="s">
        <v>11</v>
      </c>
      <c r="I4" s="31" t="s">
        <v>12</v>
      </c>
      <c r="J4" s="31" t="s">
        <v>13</v>
      </c>
      <c r="K4" s="31" t="s">
        <v>14</v>
      </c>
      <c r="L4" s="31" t="s">
        <v>15</v>
      </c>
      <c r="M4" s="38" t="s">
        <v>16</v>
      </c>
      <c r="N4" s="61"/>
      <c r="O4" s="2"/>
      <c r="P4" s="2"/>
      <c r="Q4" s="2"/>
      <c r="R4" s="2"/>
      <c r="S4" s="2"/>
      <c r="T4" s="2"/>
      <c r="U4" s="2"/>
      <c r="V4" s="2"/>
      <c r="W4" s="2"/>
      <c r="X4" s="2"/>
      <c r="Y4" s="2"/>
      <c r="Z4" s="2"/>
    </row>
    <row r="5" spans="1:27" ht="84" customHeight="1">
      <c r="A5" s="2"/>
      <c r="B5" s="44"/>
      <c r="C5" s="15" t="s">
        <v>17</v>
      </c>
      <c r="D5" s="15" t="s">
        <v>18</v>
      </c>
      <c r="E5" s="62"/>
      <c r="F5" s="62"/>
      <c r="G5" s="62"/>
      <c r="H5" s="62"/>
      <c r="I5" s="62"/>
      <c r="J5" s="62"/>
      <c r="K5" s="62"/>
      <c r="L5" s="62"/>
      <c r="M5" s="62"/>
      <c r="N5" s="62"/>
      <c r="O5" s="2"/>
      <c r="P5" s="2"/>
      <c r="Q5" s="2"/>
      <c r="R5" s="2"/>
      <c r="S5" s="2"/>
      <c r="T5" s="2"/>
      <c r="U5" s="2"/>
      <c r="V5" s="2"/>
      <c r="W5" s="2"/>
      <c r="X5" s="2"/>
      <c r="Y5" s="2"/>
      <c r="Z5" s="2"/>
    </row>
    <row r="6" spans="1:27" ht="12.75">
      <c r="A6" s="1"/>
      <c r="B6" s="3">
        <v>0.1</v>
      </c>
      <c r="C6" s="4">
        <v>7.0000000000000007E-2</v>
      </c>
      <c r="D6" s="4">
        <f>2.5%*6</f>
        <v>0.15000000000000002</v>
      </c>
      <c r="E6" s="5">
        <v>0.1</v>
      </c>
      <c r="F6" s="6">
        <v>0.05</v>
      </c>
      <c r="G6" s="6">
        <v>0.05</v>
      </c>
      <c r="H6" s="6">
        <v>0.08</v>
      </c>
      <c r="I6" s="6">
        <v>0.08</v>
      </c>
      <c r="J6" s="6">
        <v>0.08</v>
      </c>
      <c r="K6" s="6">
        <v>0.08</v>
      </c>
      <c r="L6" s="6">
        <v>0.08</v>
      </c>
      <c r="M6" s="6">
        <v>0.08</v>
      </c>
      <c r="N6" s="7">
        <f>SUM(B6:M6)</f>
        <v>0.99999999999999978</v>
      </c>
      <c r="O6" s="1"/>
      <c r="P6" s="1"/>
      <c r="Q6" s="1"/>
      <c r="R6" s="1"/>
      <c r="S6" s="1"/>
      <c r="T6" s="1"/>
      <c r="U6" s="1"/>
      <c r="V6" s="1"/>
      <c r="W6" s="1"/>
      <c r="X6" s="1"/>
      <c r="Y6" s="1"/>
      <c r="Z6" s="1"/>
    </row>
    <row r="7" spans="1:27" ht="12.75">
      <c r="A7" s="1"/>
      <c r="B7" s="26">
        <f>B6</f>
        <v>0.1</v>
      </c>
      <c r="C7" s="39">
        <f>C6+D6</f>
        <v>0.22000000000000003</v>
      </c>
      <c r="D7" s="60"/>
      <c r="E7" s="27">
        <f>E6</f>
        <v>0.1</v>
      </c>
      <c r="F7" s="32">
        <f>SUM(F6:M6)</f>
        <v>0.57999999999999996</v>
      </c>
      <c r="G7" s="33"/>
      <c r="H7" s="33"/>
      <c r="I7" s="33"/>
      <c r="J7" s="33"/>
      <c r="K7" s="33"/>
      <c r="L7" s="33"/>
      <c r="M7" s="34"/>
      <c r="N7" s="7">
        <f>SUM(B7:M7)</f>
        <v>1</v>
      </c>
      <c r="O7" s="1"/>
      <c r="P7" s="1"/>
      <c r="Q7" s="1"/>
      <c r="R7" s="1"/>
      <c r="S7" s="1"/>
      <c r="T7" s="1"/>
      <c r="U7" s="1"/>
      <c r="V7" s="1"/>
      <c r="W7" s="1"/>
      <c r="X7" s="1"/>
      <c r="Y7" s="1"/>
      <c r="Z7" s="1"/>
    </row>
    <row r="8" spans="1:27" ht="12.75">
      <c r="A8" s="1"/>
      <c r="B8" s="1"/>
      <c r="C8" s="1"/>
      <c r="D8" s="1"/>
      <c r="E8" s="1"/>
      <c r="F8" s="1"/>
      <c r="G8" s="1"/>
      <c r="H8" s="1"/>
      <c r="I8" s="1"/>
      <c r="J8" s="1"/>
      <c r="K8" s="1"/>
      <c r="L8" s="1"/>
      <c r="M8" s="1"/>
      <c r="N8" s="1"/>
      <c r="O8" s="1"/>
      <c r="P8" s="1"/>
      <c r="Q8" s="1"/>
      <c r="R8" s="1"/>
      <c r="S8" s="1"/>
      <c r="T8" s="1"/>
      <c r="U8" s="1"/>
      <c r="V8" s="1"/>
      <c r="W8" s="1"/>
      <c r="X8" s="1"/>
      <c r="Y8" s="1"/>
      <c r="Z8" s="1"/>
      <c r="AA8" s="1"/>
    </row>
    <row r="9" spans="1:27" ht="12.75">
      <c r="A9" s="1"/>
      <c r="B9" s="16" t="s">
        <v>19</v>
      </c>
      <c r="C9" s="1"/>
      <c r="D9" s="1"/>
      <c r="E9" s="1"/>
      <c r="F9" s="1"/>
      <c r="G9" s="1"/>
      <c r="H9" s="1"/>
      <c r="I9" s="16" t="s">
        <v>20</v>
      </c>
      <c r="J9" s="1"/>
      <c r="K9" s="1"/>
      <c r="L9" s="1"/>
      <c r="M9" s="1"/>
      <c r="N9" s="1"/>
      <c r="O9" s="1"/>
      <c r="P9" s="1"/>
      <c r="Q9" s="1"/>
      <c r="R9" s="1"/>
      <c r="S9" s="1"/>
      <c r="T9" s="1"/>
      <c r="U9" s="1"/>
      <c r="V9" s="1"/>
      <c r="W9" s="1"/>
      <c r="X9" s="1"/>
      <c r="Y9" s="1"/>
      <c r="Z9" s="1"/>
      <c r="AA9" s="1"/>
    </row>
    <row r="10" spans="1:27" ht="12.75">
      <c r="A10" s="1"/>
      <c r="B10" s="8" t="s">
        <v>21</v>
      </c>
      <c r="C10" s="17">
        <v>5</v>
      </c>
      <c r="D10" s="17">
        <v>4</v>
      </c>
      <c r="E10" s="17">
        <v>3</v>
      </c>
      <c r="F10" s="17">
        <v>2</v>
      </c>
      <c r="G10" s="18">
        <v>1</v>
      </c>
      <c r="H10" s="1"/>
      <c r="I10" s="8" t="s">
        <v>21</v>
      </c>
      <c r="J10" s="17">
        <v>5</v>
      </c>
      <c r="K10" s="17">
        <v>4</v>
      </c>
      <c r="L10" s="17">
        <v>3</v>
      </c>
      <c r="M10" s="17">
        <v>2</v>
      </c>
      <c r="N10" s="18">
        <v>1</v>
      </c>
      <c r="O10" s="1"/>
      <c r="P10" s="1"/>
      <c r="Q10" s="1"/>
      <c r="R10" s="1"/>
      <c r="S10" s="1"/>
      <c r="T10" s="1"/>
      <c r="U10" s="1"/>
      <c r="V10" s="1"/>
      <c r="W10" s="1"/>
      <c r="X10" s="1"/>
      <c r="Y10" s="1"/>
      <c r="Z10" s="1"/>
      <c r="AA10" s="1"/>
    </row>
    <row r="11" spans="1:27" ht="136.5" customHeight="1">
      <c r="A11" s="1"/>
      <c r="B11" s="9" t="s">
        <v>22</v>
      </c>
      <c r="C11" s="19" t="s">
        <v>23</v>
      </c>
      <c r="D11" s="19" t="s">
        <v>24</v>
      </c>
      <c r="E11" s="19" t="s">
        <v>25</v>
      </c>
      <c r="F11" s="19" t="s">
        <v>26</v>
      </c>
      <c r="G11" s="19" t="s">
        <v>27</v>
      </c>
      <c r="H11" s="1"/>
      <c r="I11" s="10" t="s">
        <v>28</v>
      </c>
      <c r="J11" s="28" t="s">
        <v>29</v>
      </c>
      <c r="K11" s="29"/>
      <c r="L11" s="29"/>
      <c r="M11" s="29"/>
      <c r="N11" s="30"/>
      <c r="O11" s="1"/>
      <c r="P11" s="1"/>
      <c r="Q11" s="1"/>
      <c r="R11" s="1"/>
      <c r="S11" s="1"/>
      <c r="T11" s="1"/>
      <c r="U11" s="1"/>
      <c r="V11" s="1"/>
      <c r="W11" s="1"/>
      <c r="X11" s="1"/>
      <c r="Y11" s="1"/>
      <c r="Z11" s="1"/>
      <c r="AA11" s="1"/>
    </row>
    <row r="12" spans="1:27" ht="120.75" customHeight="1">
      <c r="A12" s="1"/>
      <c r="B12" s="9" t="s">
        <v>30</v>
      </c>
      <c r="C12" s="19" t="s">
        <v>31</v>
      </c>
      <c r="D12" s="19" t="s">
        <v>32</v>
      </c>
      <c r="E12" s="19" t="s">
        <v>33</v>
      </c>
      <c r="F12" s="19" t="s">
        <v>34</v>
      </c>
      <c r="G12" s="19" t="s">
        <v>35</v>
      </c>
      <c r="H12" s="1"/>
      <c r="I12" s="10" t="s">
        <v>36</v>
      </c>
      <c r="J12" s="19" t="s">
        <v>37</v>
      </c>
      <c r="K12" s="19" t="s">
        <v>38</v>
      </c>
      <c r="L12" s="19" t="s">
        <v>39</v>
      </c>
      <c r="M12" s="19" t="s">
        <v>40</v>
      </c>
      <c r="N12" s="19" t="s">
        <v>41</v>
      </c>
      <c r="O12" s="1"/>
      <c r="P12" s="1"/>
      <c r="Q12" s="1"/>
      <c r="R12" s="1"/>
      <c r="S12" s="1"/>
      <c r="T12" s="1"/>
      <c r="U12" s="1"/>
      <c r="V12" s="1"/>
      <c r="W12" s="1"/>
      <c r="X12" s="1"/>
      <c r="Y12" s="1"/>
      <c r="Z12" s="1"/>
      <c r="AA12" s="1"/>
    </row>
    <row r="13" spans="1:27" ht="165.75" customHeight="1">
      <c r="A13" s="1"/>
      <c r="B13" s="11" t="s">
        <v>42</v>
      </c>
      <c r="C13" s="19" t="s">
        <v>43</v>
      </c>
      <c r="D13" s="19" t="s">
        <v>44</v>
      </c>
      <c r="E13" s="19" t="s">
        <v>45</v>
      </c>
      <c r="F13" s="19" t="s">
        <v>46</v>
      </c>
      <c r="G13" s="19" t="s">
        <v>47</v>
      </c>
      <c r="H13" s="1"/>
      <c r="I13" s="1"/>
      <c r="J13" s="1"/>
      <c r="K13" s="1"/>
      <c r="L13" s="1"/>
      <c r="M13" s="1"/>
      <c r="N13" s="1"/>
      <c r="O13" s="1"/>
      <c r="P13" s="1"/>
      <c r="Q13" s="1"/>
      <c r="R13" s="1"/>
      <c r="S13" s="1"/>
      <c r="T13" s="1"/>
      <c r="U13" s="1"/>
      <c r="V13" s="1"/>
      <c r="W13" s="1"/>
      <c r="X13" s="1"/>
      <c r="Y13" s="1"/>
      <c r="Z13" s="1"/>
      <c r="AA13" s="1"/>
    </row>
    <row r="14" spans="1:27" ht="12.75">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2.7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2.75">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2.75">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2.7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2.7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2.7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2.7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2.7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2.7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7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7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7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7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7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18">
    <mergeCell ref="B2:N2"/>
    <mergeCell ref="C3:D3"/>
    <mergeCell ref="N3:N5"/>
    <mergeCell ref="B4:B5"/>
    <mergeCell ref="C4:D4"/>
    <mergeCell ref="E4:E5"/>
    <mergeCell ref="C7:D7"/>
    <mergeCell ref="F4:F5"/>
    <mergeCell ref="G4:G5"/>
    <mergeCell ref="I4:I5"/>
    <mergeCell ref="J4:J5"/>
    <mergeCell ref="J11:N11"/>
    <mergeCell ref="H4:H5"/>
    <mergeCell ref="F7:M7"/>
    <mergeCell ref="F3:M3"/>
    <mergeCell ref="L4:L5"/>
    <mergeCell ref="M4:M5"/>
    <mergeCell ref="K4:K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outlinePr summaryBelow="0" summaryRight="0"/>
  </sheetPr>
  <dimension ref="A1:AA1002"/>
  <sheetViews>
    <sheetView topLeftCell="B2" workbookViewId="0">
      <selection activeCell="B3" sqref="B3:C3"/>
    </sheetView>
  </sheetViews>
  <sheetFormatPr defaultColWidth="12.5703125" defaultRowHeight="15.75" customHeight="1"/>
  <cols>
    <col min="1" max="1" width="3.7109375" customWidth="1"/>
    <col min="2" max="2" width="29.5703125" customWidth="1"/>
    <col min="3" max="5" width="25.140625" customWidth="1"/>
    <col min="6" max="6" width="26.42578125" customWidth="1"/>
    <col min="7" max="7" width="25.140625" customWidth="1"/>
    <col min="8" max="8" width="17.42578125" customWidth="1"/>
    <col min="9" max="9" width="26.28515625" customWidth="1"/>
    <col min="10" max="10" width="25.42578125" customWidth="1"/>
    <col min="11" max="11" width="27.5703125" customWidth="1"/>
    <col min="12" max="12" width="25.28515625" customWidth="1"/>
    <col min="13" max="13" width="25.42578125" customWidth="1"/>
    <col min="14" max="14" width="27" customWidth="1"/>
  </cols>
  <sheetData>
    <row r="1" spans="1:27" ht="12.75">
      <c r="A1" s="1"/>
      <c r="B1" s="1"/>
      <c r="C1" s="1"/>
      <c r="D1" s="1"/>
      <c r="E1" s="1"/>
      <c r="F1" s="1"/>
      <c r="G1" s="1"/>
      <c r="H1" s="1"/>
      <c r="I1" s="1"/>
      <c r="J1" s="1"/>
      <c r="K1" s="1"/>
      <c r="L1" s="1"/>
      <c r="M1" s="1"/>
      <c r="N1" s="1"/>
      <c r="O1" s="1"/>
      <c r="P1" s="1"/>
      <c r="Q1" s="1"/>
      <c r="R1" s="1"/>
      <c r="S1" s="1"/>
      <c r="T1" s="1"/>
      <c r="U1" s="1"/>
      <c r="V1" s="1"/>
      <c r="W1" s="1"/>
      <c r="X1" s="1"/>
      <c r="Y1" s="1"/>
      <c r="Z1" s="1"/>
      <c r="AA1" s="1"/>
    </row>
    <row r="2" spans="1:27" ht="15">
      <c r="A2" s="1"/>
      <c r="B2" s="41" t="s">
        <v>48</v>
      </c>
      <c r="C2" s="59"/>
      <c r="D2" s="59"/>
      <c r="E2" s="59"/>
      <c r="F2" s="59"/>
      <c r="G2" s="59"/>
      <c r="H2" s="59"/>
      <c r="I2" s="59"/>
      <c r="J2" s="59"/>
      <c r="K2" s="59"/>
      <c r="L2" s="59"/>
      <c r="M2" s="59"/>
      <c r="N2" s="59"/>
      <c r="O2" s="1"/>
      <c r="P2" s="1"/>
      <c r="Q2" s="1"/>
      <c r="R2" s="1"/>
      <c r="S2" s="1"/>
      <c r="T2" s="1"/>
      <c r="U2" s="1"/>
      <c r="V2" s="1"/>
      <c r="W2" s="1"/>
      <c r="X2" s="1"/>
      <c r="Y2" s="1"/>
      <c r="Z2" s="1"/>
      <c r="AA2" s="1"/>
    </row>
    <row r="3" spans="1:27" ht="12.75">
      <c r="A3" s="1"/>
      <c r="B3" s="35" t="s">
        <v>1</v>
      </c>
      <c r="C3" s="60"/>
      <c r="D3" s="35" t="s">
        <v>2</v>
      </c>
      <c r="E3" s="60"/>
      <c r="F3" s="35" t="s">
        <v>3</v>
      </c>
      <c r="G3" s="60"/>
      <c r="H3" s="35" t="s">
        <v>4</v>
      </c>
      <c r="I3" s="63"/>
      <c r="J3" s="63"/>
      <c r="K3" s="63"/>
      <c r="L3" s="63"/>
      <c r="M3" s="63"/>
      <c r="N3" s="60"/>
      <c r="O3" s="42" t="s">
        <v>5</v>
      </c>
      <c r="P3" s="1"/>
      <c r="Q3" s="1"/>
      <c r="R3" s="1"/>
      <c r="S3" s="1"/>
      <c r="T3" s="1"/>
      <c r="U3" s="1"/>
      <c r="V3" s="1"/>
      <c r="W3" s="1"/>
      <c r="X3" s="1"/>
      <c r="Y3" s="1"/>
      <c r="Z3" s="1"/>
      <c r="AA3" s="1"/>
    </row>
    <row r="4" spans="1:27" ht="84" customHeight="1">
      <c r="A4" s="2"/>
      <c r="B4" s="43" t="s">
        <v>49</v>
      </c>
      <c r="C4" s="43" t="s">
        <v>6</v>
      </c>
      <c r="D4" s="45" t="s">
        <v>50</v>
      </c>
      <c r="E4" s="60"/>
      <c r="F4" s="43" t="s">
        <v>8</v>
      </c>
      <c r="G4" s="40" t="s">
        <v>51</v>
      </c>
      <c r="H4" s="40" t="s">
        <v>9</v>
      </c>
      <c r="I4" s="40" t="s">
        <v>10</v>
      </c>
      <c r="J4" s="40" t="s">
        <v>52</v>
      </c>
      <c r="K4" s="40" t="s">
        <v>53</v>
      </c>
      <c r="L4" s="40" t="s">
        <v>54</v>
      </c>
      <c r="M4" s="31" t="s">
        <v>55</v>
      </c>
      <c r="N4" s="43" t="s">
        <v>56</v>
      </c>
      <c r="O4" s="61"/>
      <c r="P4" s="2"/>
      <c r="Q4" s="2"/>
      <c r="R4" s="2"/>
      <c r="S4" s="2"/>
      <c r="T4" s="2"/>
      <c r="U4" s="2"/>
      <c r="V4" s="2"/>
      <c r="W4" s="2"/>
      <c r="X4" s="2"/>
      <c r="Y4" s="2"/>
      <c r="Z4" s="2"/>
      <c r="AA4" s="2"/>
    </row>
    <row r="5" spans="1:27" ht="84" customHeight="1">
      <c r="A5" s="2"/>
      <c r="B5" s="62"/>
      <c r="C5" s="62"/>
      <c r="D5" s="15" t="s">
        <v>57</v>
      </c>
      <c r="E5" s="15" t="s">
        <v>58</v>
      </c>
      <c r="F5" s="62"/>
      <c r="G5" s="62"/>
      <c r="H5" s="62"/>
      <c r="I5" s="62"/>
      <c r="J5" s="62"/>
      <c r="K5" s="62"/>
      <c r="L5" s="62"/>
      <c r="M5" s="62"/>
      <c r="N5" s="62"/>
      <c r="O5" s="62"/>
      <c r="P5" s="2"/>
      <c r="Q5" s="2"/>
      <c r="R5" s="2"/>
      <c r="S5" s="2"/>
      <c r="T5" s="2"/>
      <c r="U5" s="2"/>
      <c r="V5" s="2"/>
      <c r="W5" s="2"/>
      <c r="X5" s="2"/>
      <c r="Y5" s="2"/>
      <c r="Z5" s="2"/>
      <c r="AA5" s="2"/>
    </row>
    <row r="6" spans="1:27" ht="12.75">
      <c r="A6" s="1"/>
      <c r="B6" s="3">
        <v>2.5000000000000001E-2</v>
      </c>
      <c r="C6" s="3">
        <v>2.5000000000000001E-2</v>
      </c>
      <c r="D6" s="4">
        <v>0.1</v>
      </c>
      <c r="E6" s="4">
        <v>0.1</v>
      </c>
      <c r="F6" s="5">
        <v>7.4999999999999997E-2</v>
      </c>
      <c r="G6" s="5">
        <v>7.4999999999999997E-2</v>
      </c>
      <c r="H6" s="6">
        <v>0.05</v>
      </c>
      <c r="I6" s="6">
        <v>0.05</v>
      </c>
      <c r="J6" s="6">
        <v>0.05</v>
      </c>
      <c r="K6" s="6">
        <v>0.15</v>
      </c>
      <c r="L6" s="6">
        <v>0.1</v>
      </c>
      <c r="M6" s="6">
        <v>0.05</v>
      </c>
      <c r="N6" s="6">
        <v>0.15</v>
      </c>
      <c r="O6" s="7">
        <f t="shared" ref="O6:O7" si="0">SUM(B6:N6)</f>
        <v>1</v>
      </c>
      <c r="P6" s="1"/>
      <c r="Q6" s="1"/>
      <c r="R6" s="1"/>
      <c r="S6" s="1"/>
      <c r="T6" s="1"/>
      <c r="U6" s="1"/>
      <c r="V6" s="1"/>
      <c r="W6" s="1"/>
      <c r="X6" s="1"/>
      <c r="Y6" s="1"/>
      <c r="Z6" s="1"/>
      <c r="AA6" s="1"/>
    </row>
    <row r="7" spans="1:27" ht="12.75">
      <c r="A7" s="1"/>
      <c r="B7" s="46">
        <f>B6+C6</f>
        <v>0.05</v>
      </c>
      <c r="C7" s="60"/>
      <c r="D7" s="39">
        <f>D6+E6</f>
        <v>0.2</v>
      </c>
      <c r="E7" s="60"/>
      <c r="F7" s="47">
        <f>F6+G6</f>
        <v>0.15</v>
      </c>
      <c r="G7" s="60"/>
      <c r="H7" s="32">
        <f>SUM(H6:N6)</f>
        <v>0.6</v>
      </c>
      <c r="I7" s="63"/>
      <c r="J7" s="63"/>
      <c r="K7" s="63"/>
      <c r="L7" s="63"/>
      <c r="M7" s="63"/>
      <c r="N7" s="60"/>
      <c r="O7" s="7">
        <f t="shared" si="0"/>
        <v>1</v>
      </c>
      <c r="P7" s="1"/>
      <c r="Q7" s="1"/>
      <c r="R7" s="1"/>
      <c r="S7" s="1"/>
      <c r="T7" s="1"/>
      <c r="U7" s="1"/>
      <c r="V7" s="1"/>
      <c r="W7" s="1"/>
      <c r="X7" s="1"/>
      <c r="Y7" s="1"/>
      <c r="Z7" s="1"/>
      <c r="AA7" s="1"/>
    </row>
    <row r="8" spans="1:27" ht="12.75">
      <c r="A8" s="1"/>
      <c r="B8" s="1"/>
      <c r="C8" s="1"/>
      <c r="D8" s="1"/>
      <c r="E8" s="1"/>
      <c r="F8" s="1"/>
      <c r="G8" s="1"/>
      <c r="H8" s="1"/>
      <c r="I8" s="1"/>
      <c r="J8" s="1"/>
      <c r="K8" s="1"/>
      <c r="L8" s="1"/>
      <c r="M8" s="1"/>
      <c r="N8" s="1"/>
      <c r="O8" s="1"/>
      <c r="P8" s="1"/>
      <c r="Q8" s="1"/>
      <c r="R8" s="1"/>
      <c r="S8" s="1"/>
      <c r="T8" s="1"/>
      <c r="U8" s="1"/>
      <c r="V8" s="1"/>
      <c r="W8" s="1"/>
      <c r="X8" s="1"/>
      <c r="Y8" s="1"/>
      <c r="Z8" s="1"/>
      <c r="AA8" s="1"/>
    </row>
    <row r="9" spans="1:27" ht="12.75">
      <c r="A9" s="1"/>
      <c r="B9" s="16" t="s">
        <v>19</v>
      </c>
      <c r="C9" s="1"/>
      <c r="D9" s="1"/>
      <c r="E9" s="1"/>
      <c r="F9" s="1"/>
      <c r="G9" s="1"/>
      <c r="H9" s="1"/>
      <c r="I9" s="16" t="s">
        <v>20</v>
      </c>
      <c r="J9" s="1"/>
      <c r="K9" s="1"/>
      <c r="L9" s="1"/>
      <c r="M9" s="1"/>
      <c r="N9" s="1"/>
      <c r="O9" s="1"/>
      <c r="P9" s="1"/>
      <c r="Q9" s="1"/>
      <c r="R9" s="1"/>
      <c r="S9" s="1"/>
      <c r="T9" s="1"/>
      <c r="U9" s="1"/>
      <c r="V9" s="1"/>
      <c r="W9" s="1"/>
      <c r="X9" s="1"/>
      <c r="Y9" s="1"/>
      <c r="Z9" s="1"/>
      <c r="AA9" s="1"/>
    </row>
    <row r="10" spans="1:27" ht="12.75">
      <c r="A10" s="1"/>
      <c r="B10" s="8" t="s">
        <v>21</v>
      </c>
      <c r="C10" s="17">
        <v>5</v>
      </c>
      <c r="D10" s="17">
        <v>4</v>
      </c>
      <c r="E10" s="17">
        <v>3</v>
      </c>
      <c r="F10" s="17">
        <v>2</v>
      </c>
      <c r="G10" s="18">
        <v>1</v>
      </c>
      <c r="H10" s="1"/>
      <c r="I10" s="8" t="s">
        <v>21</v>
      </c>
      <c r="J10" s="17">
        <v>5</v>
      </c>
      <c r="K10" s="17">
        <v>4</v>
      </c>
      <c r="L10" s="17">
        <v>3</v>
      </c>
      <c r="M10" s="17">
        <v>2</v>
      </c>
      <c r="N10" s="18">
        <v>1</v>
      </c>
      <c r="O10" s="1"/>
      <c r="P10" s="1"/>
      <c r="Q10" s="1"/>
      <c r="R10" s="1"/>
      <c r="S10" s="1"/>
      <c r="T10" s="1"/>
      <c r="U10" s="1"/>
      <c r="V10" s="1"/>
      <c r="W10" s="1"/>
      <c r="X10" s="1"/>
      <c r="Y10" s="1"/>
      <c r="Z10" s="1"/>
      <c r="AA10" s="1"/>
    </row>
    <row r="11" spans="1:27" ht="136.5" customHeight="1">
      <c r="A11" s="1"/>
      <c r="B11" s="9" t="s">
        <v>22</v>
      </c>
      <c r="C11" s="19" t="s">
        <v>59</v>
      </c>
      <c r="D11" s="19" t="s">
        <v>60</v>
      </c>
      <c r="E11" s="19" t="s">
        <v>61</v>
      </c>
      <c r="F11" s="19" t="s">
        <v>62</v>
      </c>
      <c r="G11" s="19" t="s">
        <v>63</v>
      </c>
      <c r="H11" s="1"/>
      <c r="I11" s="10" t="s">
        <v>28</v>
      </c>
      <c r="J11" s="28" t="s">
        <v>29</v>
      </c>
      <c r="K11" s="29"/>
      <c r="L11" s="29"/>
      <c r="M11" s="29"/>
      <c r="N11" s="30"/>
      <c r="O11" s="1"/>
      <c r="P11" s="1"/>
      <c r="Q11" s="1"/>
      <c r="R11" s="1"/>
      <c r="S11" s="1"/>
      <c r="T11" s="1"/>
      <c r="U11" s="1"/>
      <c r="V11" s="1"/>
      <c r="W11" s="1"/>
      <c r="X11" s="1"/>
      <c r="Y11" s="1"/>
      <c r="Z11" s="1"/>
      <c r="AA11" s="1"/>
    </row>
    <row r="12" spans="1:27" ht="120.75" customHeight="1">
      <c r="A12" s="1"/>
      <c r="B12" s="9" t="s">
        <v>64</v>
      </c>
      <c r="C12" s="19" t="s">
        <v>65</v>
      </c>
      <c r="D12" s="19" t="s">
        <v>66</v>
      </c>
      <c r="E12" s="19" t="s">
        <v>67</v>
      </c>
      <c r="F12" s="19" t="s">
        <v>68</v>
      </c>
      <c r="G12" s="19" t="s">
        <v>69</v>
      </c>
      <c r="H12" s="1"/>
      <c r="I12" s="10" t="s">
        <v>36</v>
      </c>
      <c r="J12" s="19" t="s">
        <v>37</v>
      </c>
      <c r="K12" s="19" t="s">
        <v>38</v>
      </c>
      <c r="L12" s="19" t="s">
        <v>39</v>
      </c>
      <c r="M12" s="19" t="s">
        <v>40</v>
      </c>
      <c r="N12" s="19" t="s">
        <v>41</v>
      </c>
      <c r="O12" s="1"/>
      <c r="P12" s="1"/>
      <c r="Q12" s="1"/>
      <c r="R12" s="1"/>
      <c r="S12" s="1"/>
      <c r="T12" s="1"/>
      <c r="U12" s="1"/>
      <c r="V12" s="1"/>
      <c r="W12" s="1"/>
      <c r="X12" s="1"/>
      <c r="Y12" s="1"/>
      <c r="Z12" s="1"/>
      <c r="AA12" s="1"/>
    </row>
    <row r="13" spans="1:27" ht="165.75" customHeight="1">
      <c r="A13" s="1"/>
      <c r="B13" s="11" t="s">
        <v>42</v>
      </c>
      <c r="C13" s="19" t="s">
        <v>70</v>
      </c>
      <c r="D13" s="19" t="s">
        <v>44</v>
      </c>
      <c r="E13" s="19" t="s">
        <v>71</v>
      </c>
      <c r="F13" s="19" t="s">
        <v>72</v>
      </c>
      <c r="G13" s="19" t="s">
        <v>47</v>
      </c>
      <c r="H13" s="1"/>
      <c r="I13" s="1"/>
      <c r="J13" s="1"/>
      <c r="K13" s="1"/>
      <c r="L13" s="1"/>
      <c r="M13" s="1"/>
      <c r="N13" s="1"/>
      <c r="O13" s="1"/>
      <c r="P13" s="1"/>
      <c r="Q13" s="1"/>
      <c r="R13" s="1"/>
      <c r="S13" s="1"/>
      <c r="T13" s="1"/>
      <c r="U13" s="1"/>
      <c r="V13" s="1"/>
      <c r="W13" s="1"/>
      <c r="X13" s="1"/>
      <c r="Y13" s="1"/>
      <c r="Z13" s="1"/>
      <c r="AA13" s="1"/>
    </row>
    <row r="14" spans="1:27" ht="50.25" customHeight="1">
      <c r="A14" s="1"/>
      <c r="B14" s="11" t="s">
        <v>73</v>
      </c>
      <c r="C14" s="19" t="s">
        <v>74</v>
      </c>
      <c r="D14" s="19" t="s">
        <v>75</v>
      </c>
      <c r="E14" s="19" t="s">
        <v>76</v>
      </c>
      <c r="F14" s="19" t="s">
        <v>77</v>
      </c>
      <c r="G14" s="19" t="s">
        <v>78</v>
      </c>
      <c r="H14" s="1"/>
      <c r="I14" s="1"/>
      <c r="J14" s="1"/>
      <c r="K14" s="1"/>
      <c r="L14" s="1"/>
      <c r="M14" s="1"/>
      <c r="N14" s="1"/>
      <c r="O14" s="1"/>
      <c r="P14" s="1"/>
      <c r="Q14" s="1"/>
      <c r="R14" s="1"/>
      <c r="S14" s="1"/>
      <c r="T14" s="1"/>
      <c r="U14" s="1"/>
      <c r="V14" s="1"/>
      <c r="W14" s="1"/>
      <c r="X14" s="1"/>
      <c r="Y14" s="1"/>
      <c r="Z14" s="1"/>
      <c r="AA14" s="1"/>
    </row>
    <row r="15" spans="1:27" ht="12.7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2.75">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2.75">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2.7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2.7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2.7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2.7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2.7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2.7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7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7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7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7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7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sheetData>
  <mergeCells count="23">
    <mergeCell ref="B7:C7"/>
    <mergeCell ref="B2:N2"/>
    <mergeCell ref="O3:O5"/>
    <mergeCell ref="H7:N7"/>
    <mergeCell ref="F7:G7"/>
    <mergeCell ref="B4:B5"/>
    <mergeCell ref="C4:C5"/>
    <mergeCell ref="B3:C3"/>
    <mergeCell ref="F4:F5"/>
    <mergeCell ref="G4:G5"/>
    <mergeCell ref="I4:I5"/>
    <mergeCell ref="J4:J5"/>
    <mergeCell ref="K4:K5"/>
    <mergeCell ref="L4:L5"/>
    <mergeCell ref="M4:M5"/>
    <mergeCell ref="N4:N5"/>
    <mergeCell ref="J11:N11"/>
    <mergeCell ref="H3:N3"/>
    <mergeCell ref="F3:G3"/>
    <mergeCell ref="D3:E3"/>
    <mergeCell ref="D4:E4"/>
    <mergeCell ref="D7:E7"/>
    <mergeCell ref="H4:H5"/>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outlinePr summaryBelow="0" summaryRight="0"/>
  </sheetPr>
  <dimension ref="A1:AL1005"/>
  <sheetViews>
    <sheetView workbookViewId="0">
      <selection activeCell="B3" sqref="B3:C3"/>
    </sheetView>
  </sheetViews>
  <sheetFormatPr defaultColWidth="12.5703125" defaultRowHeight="15.75" customHeight="1"/>
  <cols>
    <col min="1" max="1" width="3.7109375" customWidth="1"/>
    <col min="2" max="2" width="41.140625" customWidth="1"/>
    <col min="3" max="7" width="27" customWidth="1"/>
    <col min="8" max="11" width="17.42578125" customWidth="1"/>
    <col min="12" max="12" width="26.28515625" customWidth="1"/>
    <col min="13" max="13" width="25.42578125" customWidth="1"/>
    <col min="14" max="14" width="27.5703125" customWidth="1"/>
    <col min="15" max="15" width="25.28515625" customWidth="1"/>
    <col min="16" max="16" width="25.42578125" customWidth="1"/>
    <col min="17" max="17" width="27" customWidth="1"/>
    <col min="18" max="18" width="43.28515625" customWidth="1"/>
    <col min="19" max="25" width="27" customWidth="1"/>
  </cols>
  <sheetData>
    <row r="1" spans="1:38" ht="12.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spans="1:38" ht="15">
      <c r="A2" s="1"/>
      <c r="B2" s="41" t="s">
        <v>79</v>
      </c>
      <c r="C2" s="59"/>
      <c r="D2" s="59"/>
      <c r="E2" s="59"/>
      <c r="F2" s="59"/>
      <c r="G2" s="59"/>
      <c r="H2" s="59"/>
      <c r="I2" s="59"/>
      <c r="J2" s="59"/>
      <c r="K2" s="59"/>
      <c r="L2" s="59"/>
      <c r="M2" s="59"/>
      <c r="N2" s="59"/>
      <c r="O2" s="59"/>
      <c r="P2" s="59"/>
      <c r="Q2" s="59"/>
      <c r="R2" s="1"/>
      <c r="S2" s="1"/>
      <c r="T2" s="1"/>
      <c r="U2" s="1"/>
      <c r="V2" s="1"/>
      <c r="W2" s="1"/>
      <c r="X2" s="1"/>
      <c r="Y2" s="1"/>
      <c r="Z2" s="1"/>
      <c r="AA2" s="1"/>
      <c r="AB2" s="1"/>
      <c r="AC2" s="1"/>
      <c r="AD2" s="1"/>
      <c r="AE2" s="1"/>
      <c r="AF2" s="1"/>
      <c r="AG2" s="1"/>
      <c r="AH2" s="1"/>
      <c r="AI2" s="1"/>
      <c r="AJ2" s="1"/>
      <c r="AK2" s="1"/>
      <c r="AL2" s="1"/>
    </row>
    <row r="3" spans="1:38" ht="12.75" customHeight="1">
      <c r="A3" s="1"/>
      <c r="B3" s="35" t="s">
        <v>1</v>
      </c>
      <c r="C3" s="60"/>
      <c r="D3" s="35" t="s">
        <v>2</v>
      </c>
      <c r="E3" s="60"/>
      <c r="F3" s="50" t="s">
        <v>80</v>
      </c>
      <c r="G3" s="64"/>
      <c r="H3" s="65"/>
      <c r="I3" s="50" t="s">
        <v>3</v>
      </c>
      <c r="J3" s="51"/>
      <c r="K3" s="60"/>
      <c r="L3" s="35" t="s">
        <v>4</v>
      </c>
      <c r="M3" s="36"/>
      <c r="N3" s="36"/>
      <c r="O3" s="36"/>
      <c r="P3" s="36"/>
      <c r="Q3" s="36"/>
      <c r="R3" s="36"/>
      <c r="S3" s="36"/>
      <c r="T3" s="36"/>
      <c r="U3" s="36"/>
      <c r="V3" s="36"/>
      <c r="W3" s="36"/>
      <c r="X3" s="37"/>
      <c r="Y3" s="42" t="s">
        <v>5</v>
      </c>
      <c r="Z3" s="1"/>
      <c r="AA3" s="1"/>
      <c r="AB3" s="1"/>
      <c r="AC3" s="1"/>
      <c r="AD3" s="1"/>
      <c r="AE3" s="1"/>
      <c r="AF3" s="1"/>
      <c r="AG3" s="1"/>
      <c r="AH3" s="1"/>
      <c r="AI3" s="1"/>
      <c r="AJ3" s="1"/>
      <c r="AK3" s="1"/>
      <c r="AL3" s="1"/>
    </row>
    <row r="4" spans="1:38" ht="158.25" customHeight="1">
      <c r="A4" s="2"/>
      <c r="B4" s="43" t="s">
        <v>49</v>
      </c>
      <c r="C4" s="38" t="s">
        <v>81</v>
      </c>
      <c r="D4" s="45" t="s">
        <v>82</v>
      </c>
      <c r="E4" s="63"/>
      <c r="F4" s="53" t="s">
        <v>83</v>
      </c>
      <c r="G4" s="66"/>
      <c r="H4" s="66"/>
      <c r="I4" s="52" t="s">
        <v>8</v>
      </c>
      <c r="J4" s="54" t="s">
        <v>51</v>
      </c>
      <c r="K4" s="54" t="s">
        <v>84</v>
      </c>
      <c r="L4" s="40" t="s">
        <v>9</v>
      </c>
      <c r="M4" s="40" t="s">
        <v>10</v>
      </c>
      <c r="N4" s="31" t="s">
        <v>85</v>
      </c>
      <c r="O4" s="31" t="s">
        <v>86</v>
      </c>
      <c r="P4" s="31" t="s">
        <v>87</v>
      </c>
      <c r="Q4" s="31" t="s">
        <v>88</v>
      </c>
      <c r="R4" s="40" t="s">
        <v>89</v>
      </c>
      <c r="S4" s="40" t="s">
        <v>90</v>
      </c>
      <c r="T4" s="40" t="s">
        <v>91</v>
      </c>
      <c r="U4" s="40" t="s">
        <v>92</v>
      </c>
      <c r="V4" s="43" t="s">
        <v>93</v>
      </c>
      <c r="W4" s="43" t="s">
        <v>94</v>
      </c>
      <c r="X4" s="43" t="s">
        <v>95</v>
      </c>
      <c r="Y4" s="61"/>
      <c r="Z4" s="2"/>
      <c r="AA4" s="2"/>
      <c r="AB4" s="2"/>
      <c r="AC4" s="2"/>
      <c r="AD4" s="2"/>
      <c r="AE4" s="2"/>
      <c r="AF4" s="2"/>
      <c r="AG4" s="2"/>
      <c r="AH4" s="2"/>
      <c r="AI4" s="2"/>
      <c r="AJ4" s="2"/>
      <c r="AK4" s="2"/>
      <c r="AL4" s="2"/>
    </row>
    <row r="5" spans="1:38" ht="158.25" customHeight="1">
      <c r="A5" s="2"/>
      <c r="B5" s="44"/>
      <c r="C5" s="62"/>
      <c r="D5" s="15" t="s">
        <v>57</v>
      </c>
      <c r="E5" s="15" t="s">
        <v>58</v>
      </c>
      <c r="F5" s="23" t="s">
        <v>96</v>
      </c>
      <c r="G5" s="23" t="s">
        <v>97</v>
      </c>
      <c r="H5" s="24" t="s">
        <v>98</v>
      </c>
      <c r="I5" s="67"/>
      <c r="J5" s="68"/>
      <c r="K5" s="68"/>
      <c r="L5" s="49"/>
      <c r="M5" s="49"/>
      <c r="N5" s="49"/>
      <c r="O5" s="49"/>
      <c r="P5" s="49"/>
      <c r="Q5" s="49"/>
      <c r="R5" s="49"/>
      <c r="S5" s="49"/>
      <c r="T5" s="49"/>
      <c r="U5" s="49"/>
      <c r="V5" s="48"/>
      <c r="W5" s="48"/>
      <c r="X5" s="48"/>
      <c r="Y5" s="62"/>
      <c r="Z5" s="2"/>
      <c r="AA5" s="2"/>
      <c r="AB5" s="2"/>
      <c r="AC5" s="2"/>
      <c r="AD5" s="2"/>
      <c r="AE5" s="2"/>
      <c r="AF5" s="2"/>
      <c r="AG5" s="2"/>
      <c r="AH5" s="2"/>
      <c r="AI5" s="2"/>
      <c r="AJ5" s="2"/>
      <c r="AK5" s="2"/>
      <c r="AL5" s="2"/>
    </row>
    <row r="6" spans="1:38" ht="12.75">
      <c r="A6" s="1"/>
      <c r="B6" s="3">
        <v>0.02</v>
      </c>
      <c r="C6" s="3">
        <v>0.02</v>
      </c>
      <c r="D6" s="4">
        <v>0.04</v>
      </c>
      <c r="E6" s="4">
        <v>0.04</v>
      </c>
      <c r="F6" s="20">
        <v>7.4999999999999997E-2</v>
      </c>
      <c r="G6" s="20">
        <v>7.4999999999999997E-2</v>
      </c>
      <c r="H6" s="20">
        <v>0.05</v>
      </c>
      <c r="I6" s="14">
        <v>0.02</v>
      </c>
      <c r="J6" s="5">
        <v>0.02</v>
      </c>
      <c r="K6" s="5">
        <v>0.04</v>
      </c>
      <c r="L6" s="12">
        <v>0.01</v>
      </c>
      <c r="M6" s="12">
        <v>0.01</v>
      </c>
      <c r="N6" s="12">
        <v>0.04</v>
      </c>
      <c r="O6" s="12">
        <v>0.04</v>
      </c>
      <c r="P6" s="12">
        <v>0.05</v>
      </c>
      <c r="Q6" s="12">
        <v>0.05</v>
      </c>
      <c r="R6" s="12">
        <v>0.06</v>
      </c>
      <c r="S6" s="12">
        <v>0.05</v>
      </c>
      <c r="T6" s="12">
        <v>0.05</v>
      </c>
      <c r="U6" s="12">
        <v>0.06</v>
      </c>
      <c r="V6" s="12">
        <v>0.06</v>
      </c>
      <c r="W6" s="12">
        <v>0.06</v>
      </c>
      <c r="X6" s="12">
        <v>0.06</v>
      </c>
      <c r="Y6" s="7">
        <f t="shared" ref="Y6:Y7" si="0">SUM(B6:X6)</f>
        <v>1.0000000000000004</v>
      </c>
      <c r="Z6" s="1"/>
      <c r="AA6" s="1"/>
      <c r="AB6" s="1"/>
      <c r="AC6" s="1"/>
      <c r="AD6" s="1"/>
      <c r="AE6" s="1"/>
      <c r="AF6" s="1"/>
      <c r="AG6" s="1"/>
      <c r="AH6" s="1"/>
      <c r="AI6" s="1"/>
      <c r="AJ6" s="1"/>
      <c r="AK6" s="1"/>
      <c r="AL6" s="1"/>
    </row>
    <row r="7" spans="1:38" ht="12.75">
      <c r="A7" s="1"/>
      <c r="B7" s="46">
        <f>B6+C6</f>
        <v>0.04</v>
      </c>
      <c r="C7" s="60"/>
      <c r="D7" s="39">
        <f>D6+E6</f>
        <v>0.08</v>
      </c>
      <c r="E7" s="60"/>
      <c r="F7" s="57">
        <f>SUM(F6:H6)</f>
        <v>0.2</v>
      </c>
      <c r="G7" s="63"/>
      <c r="H7" s="60"/>
      <c r="I7" s="47">
        <f>SUM(I6:K6)</f>
        <v>0.08</v>
      </c>
      <c r="J7" s="56"/>
      <c r="K7" s="60"/>
      <c r="L7" s="55">
        <f>SUM(L6:X6)</f>
        <v>0.60000000000000009</v>
      </c>
      <c r="M7" s="63"/>
      <c r="N7" s="63"/>
      <c r="O7" s="63"/>
      <c r="P7" s="63"/>
      <c r="Q7" s="63"/>
      <c r="R7" s="63"/>
      <c r="S7" s="63"/>
      <c r="T7" s="63"/>
      <c r="U7" s="63"/>
      <c r="V7" s="63"/>
      <c r="W7" s="63"/>
      <c r="X7" s="60"/>
      <c r="Y7" s="7">
        <f t="shared" si="0"/>
        <v>1</v>
      </c>
      <c r="Z7" s="1"/>
      <c r="AA7" s="1"/>
      <c r="AB7" s="1"/>
      <c r="AC7" s="1"/>
      <c r="AD7" s="1"/>
      <c r="AE7" s="1"/>
      <c r="AF7" s="1"/>
      <c r="AG7" s="1"/>
      <c r="AH7" s="1"/>
      <c r="AI7" s="1"/>
      <c r="AJ7" s="1"/>
      <c r="AK7" s="1"/>
      <c r="AL7" s="1"/>
    </row>
    <row r="8" spans="1:38" ht="12.7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spans="1:38" ht="12.75">
      <c r="A9" s="1"/>
      <c r="B9" s="16" t="s">
        <v>19</v>
      </c>
      <c r="C9" s="1"/>
      <c r="D9" s="1"/>
      <c r="E9" s="1"/>
      <c r="F9" s="1"/>
      <c r="G9" s="1"/>
      <c r="H9" s="1"/>
      <c r="I9" s="1"/>
      <c r="J9" s="1"/>
      <c r="K9" s="1"/>
      <c r="L9" s="16" t="s">
        <v>20</v>
      </c>
      <c r="M9" s="1"/>
      <c r="N9" s="1"/>
      <c r="O9" s="1"/>
      <c r="P9" s="1"/>
      <c r="Q9" s="1"/>
      <c r="R9" s="1"/>
      <c r="S9" s="1"/>
      <c r="T9" s="1"/>
      <c r="U9" s="1"/>
      <c r="V9" s="1"/>
      <c r="W9" s="1"/>
      <c r="X9" s="1"/>
      <c r="Y9" s="1"/>
      <c r="Z9" s="1"/>
      <c r="AA9" s="1"/>
      <c r="AB9" s="1"/>
      <c r="AC9" s="1"/>
      <c r="AD9" s="1"/>
      <c r="AE9" s="1"/>
      <c r="AF9" s="1"/>
      <c r="AG9" s="1"/>
      <c r="AH9" s="1"/>
      <c r="AI9" s="1"/>
      <c r="AJ9" s="1"/>
      <c r="AK9" s="1"/>
      <c r="AL9" s="1"/>
    </row>
    <row r="10" spans="1:38" ht="12.75">
      <c r="A10" s="1"/>
      <c r="B10" s="8" t="s">
        <v>21</v>
      </c>
      <c r="C10" s="17">
        <v>5</v>
      </c>
      <c r="D10" s="17">
        <v>4</v>
      </c>
      <c r="E10" s="17">
        <v>3</v>
      </c>
      <c r="F10" s="17">
        <v>2</v>
      </c>
      <c r="G10" s="18">
        <v>1</v>
      </c>
      <c r="H10" s="1"/>
      <c r="I10" s="1"/>
      <c r="J10" s="1"/>
      <c r="K10" s="1"/>
      <c r="L10" s="8" t="s">
        <v>21</v>
      </c>
      <c r="M10" s="17">
        <v>5</v>
      </c>
      <c r="N10" s="17">
        <v>4</v>
      </c>
      <c r="O10" s="17">
        <v>3</v>
      </c>
      <c r="P10" s="17">
        <v>2</v>
      </c>
      <c r="Q10" s="18">
        <v>1</v>
      </c>
      <c r="R10" s="1"/>
      <c r="S10" s="1"/>
      <c r="T10" s="1"/>
      <c r="U10" s="1"/>
      <c r="V10" s="1"/>
      <c r="W10" s="1"/>
      <c r="X10" s="1"/>
      <c r="Y10" s="1"/>
      <c r="Z10" s="1"/>
      <c r="AA10" s="1"/>
      <c r="AB10" s="1"/>
      <c r="AC10" s="1"/>
      <c r="AD10" s="1"/>
      <c r="AE10" s="1"/>
      <c r="AF10" s="1"/>
      <c r="AG10" s="1"/>
      <c r="AH10" s="1"/>
      <c r="AI10" s="1"/>
      <c r="AJ10" s="1"/>
      <c r="AK10" s="1"/>
      <c r="AL10" s="1"/>
    </row>
    <row r="11" spans="1:38" ht="159" customHeight="1">
      <c r="A11" s="1"/>
      <c r="B11" s="9" t="s">
        <v>22</v>
      </c>
      <c r="C11" s="19" t="s">
        <v>59</v>
      </c>
      <c r="D11" s="19" t="s">
        <v>60</v>
      </c>
      <c r="E11" s="19" t="s">
        <v>61</v>
      </c>
      <c r="F11" s="19" t="s">
        <v>62</v>
      </c>
      <c r="G11" s="19" t="s">
        <v>63</v>
      </c>
      <c r="H11" s="1"/>
      <c r="I11" s="1"/>
      <c r="J11" s="1"/>
      <c r="K11" s="1"/>
      <c r="L11" s="10" t="s">
        <v>28</v>
      </c>
      <c r="M11" s="28" t="s">
        <v>29</v>
      </c>
      <c r="N11" s="29"/>
      <c r="O11" s="29"/>
      <c r="P11" s="29"/>
      <c r="Q11" s="30"/>
      <c r="R11" s="1"/>
      <c r="S11" s="1"/>
      <c r="T11" s="1"/>
      <c r="U11" s="1"/>
      <c r="V11" s="1"/>
      <c r="W11" s="1"/>
      <c r="X11" s="1"/>
      <c r="Y11" s="1"/>
      <c r="Z11" s="1"/>
      <c r="AA11" s="1"/>
      <c r="AB11" s="1"/>
      <c r="AC11" s="1"/>
      <c r="AD11" s="1"/>
      <c r="AE11" s="1"/>
      <c r="AF11" s="1"/>
      <c r="AG11" s="1"/>
      <c r="AH11" s="1"/>
      <c r="AI11" s="1"/>
      <c r="AJ11" s="1"/>
      <c r="AK11" s="1"/>
      <c r="AL11" s="1"/>
    </row>
    <row r="12" spans="1:38" ht="159" customHeight="1">
      <c r="A12" s="1"/>
      <c r="B12" s="9" t="s">
        <v>64</v>
      </c>
      <c r="C12" s="19" t="s">
        <v>65</v>
      </c>
      <c r="D12" s="19" t="s">
        <v>66</v>
      </c>
      <c r="E12" s="19" t="s">
        <v>67</v>
      </c>
      <c r="F12" s="19" t="s">
        <v>68</v>
      </c>
      <c r="G12" s="19" t="s">
        <v>69</v>
      </c>
      <c r="H12" s="1"/>
      <c r="I12" s="1"/>
      <c r="J12" s="1"/>
      <c r="K12" s="1"/>
      <c r="L12" s="10" t="s">
        <v>36</v>
      </c>
      <c r="M12" s="19" t="s">
        <v>37</v>
      </c>
      <c r="N12" s="19" t="s">
        <v>38</v>
      </c>
      <c r="O12" s="19" t="s">
        <v>39</v>
      </c>
      <c r="P12" s="19" t="s">
        <v>40</v>
      </c>
      <c r="Q12" s="19" t="s">
        <v>41</v>
      </c>
      <c r="R12" s="1"/>
      <c r="S12" s="1"/>
      <c r="T12" s="1"/>
      <c r="U12" s="1"/>
      <c r="V12" s="1"/>
      <c r="W12" s="1"/>
      <c r="X12" s="1"/>
      <c r="Y12" s="1"/>
      <c r="Z12" s="1"/>
      <c r="AA12" s="1"/>
      <c r="AB12" s="1"/>
      <c r="AC12" s="1"/>
      <c r="AD12" s="1"/>
      <c r="AE12" s="1"/>
      <c r="AF12" s="1"/>
      <c r="AG12" s="1"/>
      <c r="AH12" s="1"/>
      <c r="AI12" s="1"/>
      <c r="AJ12" s="1"/>
      <c r="AK12" s="1"/>
      <c r="AL12" s="1"/>
    </row>
    <row r="13" spans="1:38" ht="188.25" customHeight="1">
      <c r="A13" s="1"/>
      <c r="B13" s="13" t="s">
        <v>99</v>
      </c>
      <c r="C13" s="19" t="s">
        <v>100</v>
      </c>
      <c r="D13" s="19" t="s">
        <v>101</v>
      </c>
      <c r="E13" s="19" t="s">
        <v>102</v>
      </c>
      <c r="F13" s="19" t="s">
        <v>103</v>
      </c>
      <c r="G13" s="19" t="s">
        <v>104</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spans="1:38" ht="288" customHeight="1">
      <c r="A14" s="1"/>
      <c r="B14" s="13" t="s">
        <v>105</v>
      </c>
      <c r="C14" s="19" t="s">
        <v>106</v>
      </c>
      <c r="D14" s="19" t="s">
        <v>107</v>
      </c>
      <c r="E14" s="19" t="s">
        <v>108</v>
      </c>
      <c r="F14" s="19" t="s">
        <v>109</v>
      </c>
      <c r="G14" s="19" t="s">
        <v>110</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spans="1:38" ht="159" customHeight="1">
      <c r="A15" s="1"/>
      <c r="B15" s="13" t="s">
        <v>111</v>
      </c>
      <c r="C15" s="19" t="s">
        <v>112</v>
      </c>
      <c r="D15" s="19" t="s">
        <v>113</v>
      </c>
      <c r="E15" s="19" t="s">
        <v>114</v>
      </c>
      <c r="F15" s="19" t="s">
        <v>115</v>
      </c>
      <c r="G15" s="19" t="s">
        <v>116</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spans="1:38" ht="159" customHeight="1">
      <c r="A16" s="1"/>
      <c r="B16" s="11" t="s">
        <v>42</v>
      </c>
      <c r="C16" s="19" t="s">
        <v>70</v>
      </c>
      <c r="D16" s="19" t="s">
        <v>44</v>
      </c>
      <c r="E16" s="19" t="s">
        <v>71</v>
      </c>
      <c r="F16" s="19" t="s">
        <v>72</v>
      </c>
      <c r="G16" s="19" t="s">
        <v>47</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1:38" ht="159" customHeight="1">
      <c r="A17" s="1"/>
      <c r="B17" s="11" t="s">
        <v>73</v>
      </c>
      <c r="C17" s="19" t="s">
        <v>74</v>
      </c>
      <c r="D17" s="19" t="s">
        <v>75</v>
      </c>
      <c r="E17" s="19" t="s">
        <v>76</v>
      </c>
      <c r="F17" s="19" t="s">
        <v>77</v>
      </c>
      <c r="G17" s="19" t="s">
        <v>78</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spans="1:38" ht="12.7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spans="1:38" ht="12.7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spans="1:38" ht="12.7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spans="1:38" ht="12.7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spans="1:38" ht="12.7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spans="1:38" ht="12.7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spans="1:38" ht="12.7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spans="1:38" ht="12.7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spans="1:38" ht="12.7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spans="1:38" ht="12.7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ht="12.7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spans="1:38" ht="12.7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spans="1:38" ht="12.7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spans="1:38" ht="12.7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spans="1:38" ht="12.7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spans="1:38" ht="12.7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ht="12.7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spans="1:38" ht="12.7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spans="1:38" ht="12.7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spans="1:38" ht="12.7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spans="1:38" ht="12.7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ht="12.7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ht="12.7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spans="1:38" ht="12.7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spans="1:38" ht="12.7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spans="1:38" ht="12.7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ht="12.7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ht="12.7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ht="12.7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ht="12.7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ht="12.7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ht="12.7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ht="12.7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ht="12.7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ht="12.7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ht="12.7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ht="12.7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ht="12.7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ht="12.7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ht="12.7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2.7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2.7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2.7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2.7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2.7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2.7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2.7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2.7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2.7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2.7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2.7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2.7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2.7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2.7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2.7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2.7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2.7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2.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2.7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2.7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2.7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2.7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2.7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2.7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2.7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2.7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2.7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2.7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2.7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2.7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2.7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2.7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2.7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2.7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2.7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row r="1001" spans="1:38"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row>
    <row r="1002" spans="1:38"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row>
    <row r="1003" spans="1:38"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row>
    <row r="1004" spans="1:38"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row>
    <row r="1005" spans="1:38"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row>
  </sheetData>
  <mergeCells count="33">
    <mergeCell ref="B4:B5"/>
    <mergeCell ref="Y3:Y5"/>
    <mergeCell ref="D3:E3"/>
    <mergeCell ref="B7:C7"/>
    <mergeCell ref="B3:C3"/>
    <mergeCell ref="L7:X7"/>
    <mergeCell ref="D7:E7"/>
    <mergeCell ref="I7:K7"/>
    <mergeCell ref="F7:H7"/>
    <mergeCell ref="N4:N5"/>
    <mergeCell ref="J4:J5"/>
    <mergeCell ref="B2:Q2"/>
    <mergeCell ref="I3:K3"/>
    <mergeCell ref="M4:M5"/>
    <mergeCell ref="F3:H3"/>
    <mergeCell ref="P4:P5"/>
    <mergeCell ref="Q4:Q5"/>
    <mergeCell ref="O4:O5"/>
    <mergeCell ref="L3:X3"/>
    <mergeCell ref="L4:L5"/>
    <mergeCell ref="I4:I5"/>
    <mergeCell ref="R4:R5"/>
    <mergeCell ref="C4:C5"/>
    <mergeCell ref="D4:E4"/>
    <mergeCell ref="F4:H4"/>
    <mergeCell ref="K4:K5"/>
    <mergeCell ref="X4:X5"/>
    <mergeCell ref="M11:Q11"/>
    <mergeCell ref="W4:W5"/>
    <mergeCell ref="U4:U5"/>
    <mergeCell ref="T4:T5"/>
    <mergeCell ref="V4:V5"/>
    <mergeCell ref="S4:S5"/>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4076-7452-43E0-B694-92E2A3F73FBB}">
  <sheetPr>
    <tabColor theme="7"/>
  </sheetPr>
  <dimension ref="B2:P4"/>
  <sheetViews>
    <sheetView workbookViewId="0">
      <selection activeCell="C5" sqref="C5"/>
    </sheetView>
  </sheetViews>
  <sheetFormatPr defaultColWidth="11.42578125" defaultRowHeight="12.75"/>
  <cols>
    <col min="1" max="1" width="3.7109375" customWidth="1"/>
    <col min="2" max="4" width="15.140625" customWidth="1"/>
  </cols>
  <sheetData>
    <row r="2" spans="2:16" ht="15">
      <c r="B2" s="58" t="s">
        <v>117</v>
      </c>
      <c r="C2" s="59"/>
      <c r="D2" s="59"/>
      <c r="E2" s="59"/>
      <c r="F2" s="59"/>
      <c r="G2" s="59"/>
      <c r="H2" s="59"/>
      <c r="I2" s="59"/>
      <c r="J2" s="59"/>
      <c r="K2" s="59"/>
      <c r="L2" s="59"/>
      <c r="M2" s="59"/>
      <c r="N2" s="59"/>
      <c r="O2" s="59"/>
      <c r="P2" s="59"/>
    </row>
    <row r="3" spans="2:16" ht="48">
      <c r="B3" s="21" t="s">
        <v>118</v>
      </c>
      <c r="C3" s="21" t="s">
        <v>119</v>
      </c>
      <c r="D3" s="21" t="s">
        <v>120</v>
      </c>
    </row>
    <row r="4" spans="2:16">
      <c r="B4" s="22">
        <v>0.4</v>
      </c>
      <c r="C4" s="22">
        <v>0.6</v>
      </c>
      <c r="D4" s="22">
        <f>B4+C4</f>
        <v>1</v>
      </c>
    </row>
  </sheetData>
  <mergeCells count="1">
    <mergeCell ref="B2:P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2B498105AFC454D8F3EC0EBA4E22914" ma:contentTypeVersion="12" ma:contentTypeDescription="Crear nuevo documento." ma:contentTypeScope="" ma:versionID="a354ed9740a24dd500237b22a35d096b">
  <xsd:schema xmlns:xsd="http://www.w3.org/2001/XMLSchema" xmlns:xs="http://www.w3.org/2001/XMLSchema" xmlns:p="http://schemas.microsoft.com/office/2006/metadata/properties" xmlns:ns2="6c40cb4f-94ac-4716-b450-22b4833c8c2f" xmlns:ns3="2819badb-f39f-453d-a954-ed9fca107345" targetNamespace="http://schemas.microsoft.com/office/2006/metadata/properties" ma:root="true" ma:fieldsID="8d76baf1ba719f073249b9c6b3d3ab17" ns2:_="" ns3:_="">
    <xsd:import namespace="6c40cb4f-94ac-4716-b450-22b4833c8c2f"/>
    <xsd:import namespace="2819badb-f39f-453d-a954-ed9fca1073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40cb4f-94ac-4716-b450-22b4833c8c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8a37e28e-12b5-4fa1-a817-aeba67de8d9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19badb-f39f-453d-a954-ed9fca10734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a8cd78f-bd84-4077-916b-0201f85e0104}" ma:internalName="TaxCatchAll" ma:showField="CatchAllData" ma:web="2819badb-f39f-453d-a954-ed9fca1073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19badb-f39f-453d-a954-ed9fca107345" xsi:nil="true"/>
    <lcf76f155ced4ddcb4097134ff3c332f xmlns="6c40cb4f-94ac-4716-b450-22b4833c8c2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E7ECC2-7A26-46C2-9CEC-E9179CAF5D82}"/>
</file>

<file path=customXml/itemProps2.xml><?xml version="1.0" encoding="utf-8"?>
<ds:datastoreItem xmlns:ds="http://schemas.openxmlformats.org/officeDocument/2006/customXml" ds:itemID="{79BCF62E-E86F-4CE7-AFFE-F5B8BBDABFEE}"/>
</file>

<file path=customXml/itemProps3.xml><?xml version="1.0" encoding="utf-8"?>
<ds:datastoreItem xmlns:ds="http://schemas.openxmlformats.org/officeDocument/2006/customXml" ds:itemID="{FDFB2BE0-B898-4FBB-8516-F3AA0CDB16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2025-07-24T22:56:15Z</dcterms:created>
  <dcterms:modified xsi:type="dcterms:W3CDTF">2026-03-04T06:00:55Z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0x01010062B498105AFC454D8F3EC0EBA4E22914</vt:lpwstr>
  </property>
  <property fmtid="{D5CDD505-2E9C-101B-9397-08002B2CF9AE}" pid="3" name="MediaServiceImageTags">
    <vt:lpwstr/>
  </property>
</Properties>
</file>